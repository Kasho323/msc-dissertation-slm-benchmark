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f4eb608773411d" /></Relationships>
</file>

<file path=xl/workbook.xml><?xml version="1.0" encoding="utf-8"?>
<x:workbook xmlns:x="http://schemas.openxmlformats.org/spreadsheetml/2006/main">
  <x:sheets>
    <x:sheet xmlns:r="http://schemas.openxmlformats.org/officeDocument/2006/relationships" name="Blind Scoring" sheetId="1" r:id="R486fbc8f13184925"/>
    <x:sheet xmlns:r="http://schemas.openxmlformats.org/officeDocument/2006/relationships" name="Guide" sheetId="2" r:id="R5fdeb94cac2a4758"/>
    <x:sheet xmlns:r="http://schemas.openxmlformats.org/officeDocument/2006/relationships" name="AI Draft Note" sheetId="3" r:id="Re2de866cf743405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
    <x:numFmt numFmtId="202" formatCode="yyyy-mm-dd"/>
    <x:numFmt numFmtId="203" formatCode="0.0%"/>
  </x:numFmts>
  <x:fonts count="8">
    <x:font>
      <x:sz val="11"/>
      <x:name val="Carlito"/>
    </x:font>
    <x:font>
      <x:sz val="10"/>
      <x:color rgb="FF111827"/>
      <x:name val="Aptos"/>
    </x:font>
    <x:font>
      <x:b/>
      <x:sz val="10"/>
      <x:color rgb="FFFFFFFF"/>
      <x:name val="Aptos"/>
    </x:font>
    <x:font>
      <x:b/>
      <x:sz val="18"/>
      <x:color rgb="FFFFFFFF"/>
      <x:name val="Aptos Display"/>
    </x:font>
    <x:font>
      <x:b/>
      <x:sz val="11"/>
      <x:color rgb="FF17365D"/>
      <x:name val="Carlito"/>
    </x:font>
    <x:font>
      <x:i/>
      <x:sz val="11"/>
      <x:color rgb="FF78350F"/>
      <x:name val="Carlito"/>
    </x:font>
    <x:font>
      <x:b/>
      <x:sz val="11"/>
      <x:color rgb="FFFFFFFF"/>
      <x:name val="Carlito"/>
    </x:font>
    <x:font>
      <x:b/>
      <x:sz val="11"/>
      <x:name val="Carlito"/>
    </x:font>
  </x:fonts>
  <x:fills count="9">
    <x:fill>
      <x:patternFill patternType="none"/>
    </x:fill>
    <x:fill>
      <x:patternFill patternType="gray125"/>
    </x:fill>
    <x:fill>
      <x:patternFill patternType="solid">
        <x:fgColor rgb="FF1F4E78"/>
      </x:patternFill>
    </x:fill>
    <x:fill>
      <x:patternFill patternType="solid">
        <x:fgColor rgb="FFFFF7D6"/>
      </x:patternFill>
    </x:fill>
    <x:fill>
      <x:patternFill patternType="solid">
        <x:fgColor rgb="FFE8F1FA"/>
      </x:patternFill>
    </x:fill>
    <x:fill>
      <x:patternFill patternType="solid">
        <x:fgColor rgb="FFF3F4F6"/>
      </x:patternFill>
    </x:fill>
    <x:fill>
      <x:patternFill patternType="solid">
        <x:fgColor rgb="FFD9EAF7"/>
      </x:patternFill>
    </x:fill>
    <x:fill>
      <x:patternFill patternType="solid">
        <x:fgColor rgb="FF1F4E78"/>
      </x:patternFill>
    </x:fill>
    <x:fill>
      <x:patternFill patternType="solid">
        <x:fgColor rgb="FFD9EAF7"/>
      </x:patternFill>
    </x:fill>
  </x:fills>
  <x:borders count="32">
    <x:border/>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top style="thin">
        <x:color rgb="FFD1D5DB"/>
      </x:top>
    </x:border>
    <x:border>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top style="thin">
        <x:color rgb="FFD1D5DB"/>
      </x:top>
    </x:border>
    <x:border>
      <x:left style="thin">
        <x:color rgb="FFD1D5DB"/>
      </x:left>
      <x:right style="thin">
        <x:color rgb="FFD1D5DB"/>
      </x:right>
      <x:bottom style="thin">
        <x:color rgb="FFD1D5DB"/>
      </x:bottom>
    </x:border>
    <x:border>
      <x:left style="thin">
        <x:color rgb="FFD1D5DB"/>
      </x:left>
      <x:right style="thin">
        <x:color rgb="FFD1D5DB"/>
      </x:right>
      <x:top style="thin">
        <x:color rgb="FFD1D5DB"/>
      </x:top>
      <x:bottom style="thin">
        <x:color rgb="FFD1D5DB"/>
      </x:bottom>
    </x:border>
    <x:border>
      <x:left style="thin">
        <x:color rgb="FFD1D5DB"/>
      </x:left>
      <x:right style="thin">
        <x:color rgb="FFD1D5DB"/>
      </x:right>
      <x:top style="thin">
        <x:color rgb="FFD1D5DB"/>
      </x:top>
    </x:border>
    <x:border>
      <x:left style="thin">
        <x:color rgb="FFD1D5DB"/>
      </x:left>
      <x:right style="thin">
        <x:color rgb="FFD1D5DB"/>
      </x:right>
      <x:bottom style="thin">
        <x:color rgb="FFD1D5DB"/>
      </x:bottom>
    </x:border>
    <x:border>
      <x:left style="thin">
        <x:color rgb="FFD1D5DB"/>
      </x:left>
      <x:right style="thin">
        <x:color rgb="FFD1D5DB"/>
      </x:right>
      <x:top style="thin">
        <x:color rgb="FFD1D5DB"/>
      </x:top>
      <x:bottom style="thin">
        <x:color rgb="FFD1D5DB"/>
      </x:bottom>
    </x:border>
    <x:border>
      <x:left style="thin">
        <x:color rgb="FFD1D5DB"/>
      </x:left>
      <x:right style="thin">
        <x:color rgb="FFD1D5DB"/>
      </x:right>
      <x:top style="thin">
        <x:color rgb="FFD1D5DB"/>
      </x:top>
    </x:border>
    <x:border>
      <x:left style="thin">
        <x:color rgb="FFF59E0B"/>
      </x:left>
      <x:top style="thin">
        <x:color rgb="FFF59E0B"/>
      </x:top>
      <x:bottom style="thin">
        <x:color rgb="FFF59E0B"/>
      </x:bottom>
    </x:border>
    <x:border>
      <x:top style="thin">
        <x:color rgb="FFF59E0B"/>
      </x:top>
      <x:bottom style="thin">
        <x:color rgb="FFF59E0B"/>
      </x:bottom>
    </x:border>
    <x:border>
      <x:right style="thin">
        <x:color rgb="FFF59E0B"/>
      </x:right>
      <x:top style="thin">
        <x:color rgb="FFF59E0B"/>
      </x:top>
      <x:bottom style="thin">
        <x:color rgb="FFF59E0B"/>
      </x:bottom>
    </x:border>
    <x:border>
      <x:left style="thin">
        <x:color rgb="FFF59E0B"/>
      </x:left>
      <x:top style="thin">
        <x:color rgb="FFF59E0B"/>
      </x:top>
      <x:bottom style="thin">
        <x:color rgb="FFF59E0B"/>
      </x:bottom>
    </x:border>
    <x:border>
      <x:top style="thin">
        <x:color rgb="FFF59E0B"/>
      </x:top>
      <x:bottom style="thin">
        <x:color rgb="FFF59E0B"/>
      </x:bottom>
    </x:border>
    <x:border>
      <x:right style="thin">
        <x:color rgb="FFF59E0B"/>
      </x:right>
      <x:top style="thin">
        <x:color rgb="FFF59E0B"/>
      </x:top>
      <x:bottom style="thin">
        <x:color rgb="FFF59E0B"/>
      </x:bottom>
    </x:border>
  </x:borders>
  <x:cellStyleXfs count="1">
    <x:xf numFmtId="0" fontId="0" fillId="0" borderId="0"/>
  </x:cellStyleXfs>
  <x:cellXfs count="14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4" xfId="0" applyNumberFormat="1" applyFont="1" applyFill="1" applyBorder="1" applyAlignment="1">
      <x:alignment vertical="top"/>
    </x:xf>
    <x:xf numFmtId="0" fontId="2" fillId="2" borderId="5" xfId="0" applyNumberFormat="1" applyFont="1" applyFill="1" applyBorder="1" applyAlignment="1">
      <x:alignment vertical="top"/>
    </x:xf>
    <x:xf numFmtId="0" fontId="2" fillId="2" borderId="6" xfId="0" applyNumberFormat="1" applyFont="1" applyFill="1" applyBorder="1" applyAlignment="1">
      <x:alignment vertical="top"/>
    </x:xf>
    <x:xf numFmtId="0" fontId="2" fillId="2" borderId="7" xfId="0" applyNumberFormat="1" applyFont="1" applyFill="1" applyBorder="1" applyAlignment="1">
      <x:alignment vertical="top"/>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2" fillId="2" borderId="6" xfId="0" applyNumberFormat="1" applyFont="1" applyFill="1" applyBorder="1" applyAlignment="1">
      <x:alignment vertical="top" wrapText="1"/>
    </x:xf>
    <x:xf numFmtId="0" fontId="2" fillId="2" borderId="7"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4" xfId="0" applyNumberFormat="1" applyFont="1" applyFill="1" applyBorder="1" applyAlignment="1">
      <x:alignment horizontal="center" vertical="top" wrapText="1"/>
    </x:xf>
    <x:xf numFmtId="0" fontId="2" fillId="2" borderId="5" xfId="0" applyNumberFormat="1" applyFont="1" applyFill="1" applyBorder="1" applyAlignment="1">
      <x:alignment horizontal="center" vertical="top" wrapText="1"/>
    </x:xf>
    <x:xf numFmtId="0" fontId="2" fillId="2" borderId="6" xfId="0" applyNumberFormat="1" applyFont="1" applyFill="1" applyBorder="1" applyAlignment="1">
      <x:alignment horizontal="center" vertical="top" wrapText="1"/>
    </x:xf>
    <x:xf numFmtId="0" fontId="2" fillId="2" borderId="7"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2" fillId="2" borderId="7"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3" borderId="1" xfId="0" applyNumberFormat="1" applyFont="1" applyFill="1" applyBorder="1" applyAlignment="1">
      <x:alignment vertical="top"/>
    </x:xf>
    <x:xf numFmtId="200" fontId="1" fillId="3" borderId="0" xfId="0" applyNumberFormat="1" applyFont="1" applyFill="1" applyBorder="1" applyAlignment="1">
      <x:alignment vertical="top"/>
    </x:xf>
    <x:xf numFmtId="200" fontId="1" fillId="3" borderId="1" xfId="0" applyNumberFormat="1" applyFont="1" applyFill="1" applyBorder="1" applyAlignment="1">
      <x:alignment vertical="top"/>
    </x:xf>
    <x:xf numFmtId="200" fontId="1" fillId="3" borderId="0" xfId="0" applyNumberFormat="1" applyFont="1" applyFill="1" applyBorder="1" applyAlignment="1">
      <x:alignment horizontal="center" vertical="top"/>
    </x:xf>
    <x:xf numFmtId="200" fontId="1" fillId="3" borderId="1" xfId="0" applyNumberFormat="1" applyFont="1" applyFill="1" applyBorder="1" applyAlignment="1">
      <x:alignment horizontal="center" vertical="top"/>
    </x:xf>
    <x:xf numFmtId="200" fontId="1" fillId="3" borderId="0" xfId="0" applyNumberFormat="1" applyFont="1" applyFill="1" applyBorder="1" applyAlignment="1">
      <x:alignment horizontal="center" vertical="center"/>
    </x:xf>
    <x:xf numFmtId="200" fontId="1" fillId="3" borderId="1" xfId="0" applyNumberFormat="1" applyFont="1" applyFill="1" applyBorder="1" applyAlignment="1">
      <x:alignment horizontal="center" vertical="center"/>
    </x:xf>
    <x:xf numFmtId="0" fontId="1" fillId="4" borderId="0" xfId="0" applyNumberFormat="1" applyFont="1" applyFill="1" applyBorder="1" applyAlignment="1">
      <x:alignment vertical="top"/>
    </x:xf>
    <x:xf numFmtId="0" fontId="1" fillId="4" borderId="1" xfId="0" applyNumberFormat="1" applyFont="1" applyFill="1" applyBorder="1" applyAlignment="1">
      <x:alignment vertical="top"/>
    </x:xf>
    <x:xf numFmtId="201" fontId="1" fillId="4" borderId="0" xfId="0" applyNumberFormat="1" applyFont="1" applyFill="1" applyBorder="1" applyAlignment="1">
      <x:alignment vertical="top"/>
    </x:xf>
    <x:xf numFmtId="201" fontId="1" fillId="4" borderId="1" xfId="0" applyNumberFormat="1" applyFont="1" applyFill="1" applyBorder="1" applyAlignment="1">
      <x:alignment vertical="top"/>
    </x:xf>
    <x:xf numFmtId="201" fontId="1" fillId="4" borderId="0" xfId="0" applyNumberFormat="1" applyFont="1" applyFill="1" applyBorder="1" applyAlignment="1">
      <x:alignment horizontal="center" vertical="top"/>
    </x:xf>
    <x:xf numFmtId="201" fontId="1" fillId="4" borderId="1" xfId="0" applyNumberFormat="1" applyFont="1" applyFill="1" applyBorder="1" applyAlignment="1">
      <x:alignment horizontal="center" vertical="top"/>
    </x:xf>
    <x:xf numFmtId="201" fontId="1" fillId="4" borderId="0" xfId="0" applyNumberFormat="1" applyFont="1" applyFill="1" applyBorder="1" applyAlignment="1">
      <x:alignment horizontal="center" vertical="center"/>
    </x:xf>
    <x:xf numFmtId="201" fontId="1" fillId="4" borderId="1" xfId="0" applyNumberFormat="1" applyFont="1" applyFill="1" applyBorder="1" applyAlignment="1">
      <x:alignment horizontal="center" vertical="center"/>
    </x:xf>
    <x:xf numFmtId="0" fontId="1" fillId="5" borderId="0" xfId="0" applyNumberFormat="1" applyFont="1" applyFill="1" applyBorder="1" applyAlignment="1">
      <x:alignment vertical="top"/>
    </x:xf>
    <x:xf numFmtId="0" fontId="1" fillId="5" borderId="1" xfId="0" applyNumberFormat="1" applyFont="1" applyFill="1" applyBorder="1" applyAlignment="1">
      <x:alignment vertical="top"/>
    </x:xf>
    <x:xf numFmtId="202" fontId="1" fillId="5" borderId="0" xfId="0" applyNumberFormat="1" applyFont="1" applyFill="1" applyBorder="1" applyAlignment="1">
      <x:alignment vertical="top"/>
    </x:xf>
    <x:xf numFmtId="202" fontId="1" fillId="5" borderId="1" xfId="0" applyNumberFormat="1" applyFont="1" applyFill="1" applyBorder="1" applyAlignment="1">
      <x:alignment vertical="top"/>
    </x:xf>
    <x:xf numFmtId="0" fontId="1" fillId="5" borderId="0" xfId="0" applyNumberFormat="1" applyFont="1" applyFill="1" applyBorder="1" applyAlignment="1">
      <x:alignment horizontal="center" vertical="top"/>
    </x:xf>
    <x:xf numFmtId="0" fontId="1" fillId="5" borderId="1" xfId="0" applyNumberFormat="1" applyFont="1" applyFill="1" applyBorder="1" applyAlignment="1">
      <x:alignment horizontal="center" vertical="top"/>
    </x:xf>
    <x:xf numFmtId="0" fontId="1" fillId="5" borderId="0" xfId="0" applyNumberFormat="1" applyFont="1" applyFill="1" applyBorder="1" applyAlignment="1">
      <x:alignment horizontal="center" vertical="center"/>
    </x:xf>
    <x:xf numFmtId="0" fontId="1" fillId="5" borderId="1" xfId="0" applyNumberFormat="1" applyFont="1" applyFill="1" applyBorder="1" applyAlignment="1">
      <x:alignment horizontal="center" vertical="center"/>
    </x:xf>
    <x:xf numFmtId="0" fontId="0" fillId="2" borderId="0" xfId="0" applyNumberFormat="1" applyFont="1" applyFill="1" applyBorder="1"/>
    <x:xf numFmtId="0" fontId="0"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vertical="center"/>
    </x:xf>
    <x:xf numFmtId="0" fontId="3" fillId="2" borderId="1" xfId="0" applyNumberFormat="1" applyFont="1" applyFill="1" applyBorder="1" applyAlignment="1">
      <x:alignment vertical="center"/>
    </x:xf>
    <x:xf numFmtId="203" fontId="0" fillId="0" borderId="0" xfId="0" applyNumberFormat="1" applyFont="1" applyFill="1" applyBorder="1"/>
    <x:xf numFmtId="203" fontId="0" fillId="0" borderId="1" xfId="0" applyNumberFormat="1" applyFont="1" applyFill="1" applyBorder="1"/>
    <x:xf numFmtId="0" fontId="0" fillId="6" borderId="0" xfId="0" applyNumberFormat="1" applyFont="1" applyFill="1" applyBorder="1"/>
    <x:xf numFmtId="0" fontId="0" fillId="6" borderId="1"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203"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203"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13"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0" borderId="19" xfId="0" applyNumberFormat="1" applyFont="1" applyFill="1" applyBorder="1"/>
    <x:xf numFmtId="0" fontId="0" fillId="0" borderId="8"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3" borderId="0" xfId="0" applyNumberFormat="1" applyFont="1" applyFill="1" applyBorder="1"/>
    <x:xf numFmtId="0" fontId="0" fillId="3" borderId="1" xfId="0" applyNumberFormat="1" applyFont="1" applyFill="1" applyBorder="1"/>
    <x:xf numFmtId="0" fontId="5" fillId="3" borderId="0" xfId="0" applyNumberFormat="1" applyFont="1" applyFill="1" applyBorder="1"/>
    <x:xf numFmtId="0" fontId="5" fillId="3" borderId="1" xfId="0" applyNumberFormat="1" applyFont="1" applyFill="1" applyBorder="1"/>
    <x:xf numFmtId="0" fontId="5" fillId="3" borderId="26" xfId="0" applyNumberFormat="1" applyFont="1" applyFill="1" applyBorder="1"/>
    <x:xf numFmtId="0" fontId="5" fillId="3" borderId="27" xfId="0" applyNumberFormat="1" applyFont="1" applyFill="1" applyBorder="1"/>
    <x:xf numFmtId="0" fontId="5" fillId="3" borderId="28" xfId="0" applyNumberFormat="1" applyFont="1" applyFill="1" applyBorder="1"/>
    <x:xf numFmtId="0" fontId="5" fillId="3" borderId="29" xfId="0" applyNumberFormat="1" applyFont="1" applyFill="1" applyBorder="1"/>
    <x:xf numFmtId="0" fontId="5" fillId="3" borderId="30" xfId="0" applyNumberFormat="1" applyFont="1" applyFill="1" applyBorder="1"/>
    <x:xf numFmtId="0" fontId="5" fillId="3" borderId="31" xfId="0" applyNumberFormat="1" applyFont="1" applyFill="1" applyBorder="1"/>
    <x:xf numFmtId="0" fontId="5" fillId="3" borderId="26" xfId="0" applyNumberFormat="1" applyFont="1" applyFill="1" applyBorder="1" applyAlignment="1">
      <x:alignment wrapText="1"/>
    </x:xf>
    <x:xf numFmtId="0" fontId="5" fillId="3" borderId="27" xfId="0" applyNumberFormat="1" applyFont="1" applyFill="1" applyBorder="1" applyAlignment="1">
      <x:alignment wrapText="1"/>
    </x:xf>
    <x:xf numFmtId="0" fontId="5" fillId="3" borderId="28" xfId="0" applyNumberFormat="1" applyFont="1" applyFill="1" applyBorder="1" applyAlignment="1">
      <x:alignment wrapText="1"/>
    </x:xf>
    <x:xf numFmtId="0" fontId="0" fillId="7" borderId="0" xfId="0" applyNumberFormat="1" applyFont="1" applyFill="1" applyBorder="1"/>
    <x:xf numFmtId="0" fontId="6" fillId="7" borderId="0" xfId="0" applyNumberFormat="1" applyFont="1" applyFill="1" applyBorder="1"/>
    <x:xf numFmtId="0" fontId="0" fillId="8" borderId="0" xfId="0" applyNumberFormat="1" applyFont="1" applyFill="1" applyBorder="1"/>
    <x:xf numFmtId="0" fontId="7" fillId="8" borderId="0" xfId="0" applyNumberFormat="1" applyFont="1" applyFill="1" applyBorder="1"/>
    <x:xf numFmtId="0" fontId="6" fillId="7" borderId="0" xfId="0" applyNumberFormat="1" applyFont="1" applyFill="1" applyBorder="1" applyAlignment="1">
      <x:alignment wrapText="1"/>
    </x:xf>
    <x:xf numFmtId="0" fontId="0" fillId="0" borderId="0" xfId="0" applyNumberFormat="1" applyFont="1" applyFill="1" applyBorder="1" applyAlignment="1">
      <x:alignment wrapText="1"/>
    </x:xf>
    <x:xf numFmtId="0" fontId="7" fillId="8" borderId="0" xfId="0" applyNumberFormat="1" applyFont="1" applyFill="1" applyBorder="1" applyAlignment="1">
      <x:alignment wrapText="1"/>
    </x:xf>
  </x:cellXfs>
  <x:cellStyles count="1">
    <x:cellStyle name="Normal" xfId="0"/>
  </x:cellStyles>
  <x:dxfs count="2">
    <x:dxf>
      <x:font>
        <x:b/>
        <x:color rgb="FF166534"/>
      </x:font>
      <x:fill>
        <x:patternFill>
          <x:bgColor rgb="FFDCFCE7"/>
        </x:patternFill>
      </x:fill>
    </x:dxf>
    <x:dxf>
      <x:font>
        <x:b/>
        <x:color rgb="FF92400E"/>
      </x:font>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99e67720add49d4" /><Relationship Type="http://schemas.openxmlformats.org/officeDocument/2006/relationships/theme" Target="/xl/theme/theme1.xml" Id="R8335bc9bdb414a7b" /><Relationship Type="http://schemas.openxmlformats.org/officeDocument/2006/relationships/sharedStrings" Target="/xl/sharedStrings.xml" Id="R2476b069e4f74fb3" /><Relationship Type="http://schemas.openxmlformats.org/officeDocument/2006/relationships/worksheet" Target="/xl/worksheets/sheet1.xml" Id="R486fbc8f13184925" /><Relationship Type="http://schemas.openxmlformats.org/officeDocument/2006/relationships/worksheet" Target="/xl/worksheets/sheet2.xml" Id="R5fdeb94cac2a4758" /><Relationship Type="http://schemas.openxmlformats.org/officeDocument/2006/relationships/worksheet" Target="/xl/worksheets/sheet3.xml" Id="Re2de866cf743405f" /></Relationships>
</file>

<file path=xl/tables/table1.xml><?xml version="1.0" encoding="utf-8"?>
<x:table xmlns:x="http://schemas.openxmlformats.org/spreadsheetml/2006/main" id="1" name="BlindScoringTable" displayName="BlindScoringTable" ref="A1:X241" headerRowCount="1">
  <x:autoFilter ref="A1:X241"/>
  <x:tableColumns count="24">
    <x:tableColumn id="1" name="blind_answer_id"/>
    <x:tableColumn id="2" name="blind_model_code"/>
    <x:tableColumn id="3" name="question_id"/>
    <x:tableColumn id="4" name="repetition"/>
    <x:tableColumn id="5" name="source_id"/>
    <x:tableColumn id="6" name="source_title"/>
    <x:tableColumn id="7" name="question_type"/>
    <x:tableColumn id="8" name="difficulty"/>
    <x:tableColumn id="9" name="documents_needed"/>
    <x:tableColumn id="10" name="question_text"/>
    <x:tableColumn id="11" name="expected_answer_notes"/>
    <x:tableColumn id="12" name="evidence_location"/>
    <x:tableColumn id="13" name="generated_answer"/>
    <x:tableColumn id="14" name="relevance"/>
    <x:tableColumn id="15" name="correctness"/>
    <x:tableColumn id="16" name="faithfulness_to_source"/>
    <x:tableColumn id="17" name="completeness"/>
    <x:tableColumn id="18" name="hallucination_risk"/>
    <x:tableColumn id="19" name="source_grounding"/>
    <x:tableColumn id="20" name="average_quality_score"/>
    <x:tableColumn id="21" name="scoring_notes"/>
    <x:tableColumn id="22" name="scored_by"/>
    <x:tableColumn id="23" name="scored_date"/>
    <x:tableColumn id="24" name="scoring_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5a3229d2b8b4139"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3" hidden="0" customWidth="1"/>
    <x:col min="3" max="3" width="10" hidden="0" customWidth="1"/>
    <x:col min="4" max="4" width="10" hidden="0" customWidth="1"/>
    <x:col min="5" max="5" width="10" hidden="0" customWidth="1"/>
    <x:col min="6" max="6" width="28" hidden="0" customWidth="1"/>
    <x:col min="7" max="7" width="18" hidden="0" customWidth="1"/>
    <x:col min="8" max="8" width="12" hidden="0" customWidth="1"/>
    <x:col min="9" max="9" width="14" hidden="0" customWidth="1"/>
    <x:col min="10" max="10" width="42" hidden="0" customWidth="1"/>
    <x:col min="11" max="11" width="52" hidden="0" customWidth="1"/>
    <x:col min="12" max="12" width="30" hidden="0" customWidth="1"/>
    <x:col min="13" max="13" width="72" hidden="0" customWidth="1"/>
    <x:col min="14" max="14" width="11" hidden="0" customWidth="1"/>
    <x:col min="15" max="15" width="11" hidden="0" customWidth="1"/>
    <x:col min="16" max="16" width="18" hidden="0" customWidth="1"/>
    <x:col min="17" max="17" width="13" hidden="0" customWidth="1"/>
    <x:col min="18" max="18" width="17" hidden="0" customWidth="1"/>
    <x:col min="19" max="19" width="16" hidden="0" customWidth="1"/>
    <x:col min="20" max="20" width="14" hidden="0" customWidth="1"/>
    <x:col min="21" max="21" width="42" hidden="0" customWidth="1"/>
    <x:col min="22" max="22" width="18" hidden="0" customWidth="1"/>
    <x:col min="23" max="23" width="14" hidden="0" customWidth="1"/>
    <x:col min="24" max="24" width="15" hidden="0" customWidth="1"/>
  </x:cols>
  <x:sheetData>
    <x:row r="1" ht="38" customHeight="1">
      <x:c r="A1" s="28" t="str">
        <x:v>blind_answer_id</x:v>
      </x:c>
      <x:c r="B1" s="29" t="str">
        <x:v>blind_model_code</x:v>
      </x:c>
      <x:c r="C1" s="29" t="str">
        <x:v>question_id</x:v>
      </x:c>
      <x:c r="D1" s="29" t="str">
        <x:v>repetition</x:v>
      </x:c>
      <x:c r="E1" s="29" t="str">
        <x:v>source_id</x:v>
      </x:c>
      <x:c r="F1" s="29" t="str">
        <x:v>source_title</x:v>
      </x:c>
      <x:c r="G1" s="29" t="str">
        <x:v>question_type</x:v>
      </x:c>
      <x:c r="H1" s="29" t="str">
        <x:v>difficulty</x:v>
      </x:c>
      <x:c r="I1" s="29" t="str">
        <x:v>documents_needed</x:v>
      </x:c>
      <x:c r="J1" s="29" t="str">
        <x:v>question_text</x:v>
      </x:c>
      <x:c r="K1" s="29" t="str">
        <x:v>expected_answer_notes</x:v>
      </x:c>
      <x:c r="L1" s="29" t="str">
        <x:v>evidence_location</x:v>
      </x:c>
      <x:c r="M1" s="29" t="str">
        <x:v>generated_answer</x:v>
      </x:c>
      <x:c r="N1" s="29" t="str">
        <x:v>relevance</x:v>
      </x:c>
      <x:c r="O1" s="29" t="str">
        <x:v>correctness</x:v>
      </x:c>
      <x:c r="P1" s="29" t="str">
        <x:v>faithfulness_to_source</x:v>
      </x:c>
      <x:c r="Q1" s="29" t="str">
        <x:v>completeness</x:v>
      </x:c>
      <x:c r="R1" s="29" t="str">
        <x:v>hallucination_risk</x:v>
      </x:c>
      <x:c r="S1" s="29" t="str">
        <x:v>source_grounding</x:v>
      </x:c>
      <x:c r="T1" s="29" t="str">
        <x:v>average_quality_score</x:v>
      </x:c>
      <x:c r="U1" s="29" t="str">
        <x:v>scoring_notes</x:v>
      </x:c>
      <x:c r="V1" s="29" t="str">
        <x:v>scored_by</x:v>
      </x:c>
      <x:c r="W1" s="29" t="str">
        <x:v>scored_date</x:v>
      </x:c>
      <x:c r="X1" s="30" t="str">
        <x:v>scoring_status</x:v>
      </x:c>
    </x:row>
    <x:row r="2" ht="84" customHeight="1">
      <x:c r="A2" s="34" t="str">
        <x:v>R9-Q027-R1</x:v>
      </x:c>
      <x:c r="B2" s="34" t="str">
        <x:v>R9</x:v>
      </x:c>
      <x:c r="C2" s="34" t="str">
        <x:v>Q027</x:v>
      </x:c>
      <x:c r="D2" s="34" t="str">
        <x:v>1</x:v>
      </x:c>
      <x:c r="E2" s="34" t="str">
        <x:v>D3</x:v>
      </x:c>
      <x:c r="F2" s="34" t="str">
        <x:v>NIST AI RMF</x:v>
      </x:c>
      <x:c r="G2" s="34" t="str">
        <x:v>boundary_limitation</x:v>
      </x:c>
      <x:c r="H2" s="34" t="str">
        <x:v>hard</x:v>
      </x:c>
      <x:c r="I2" s="34" t="str">
        <x:v>one_document</x:v>
      </x:c>
      <x:c r="J2" s="34" t="str">
        <x:v>Why should an AI system be evaluated for limitations as well as capabilities?</x:v>
      </x:c>
      <x:c r="K2" s="34" t="str">
        <x:v>A good answer should explain that risk depends on context, uncertainty, negative impacts, and limitations, not only successful outputs. Evaluating limitations helps avoid overclaiming and supports responsible deployment decisions.</x:v>
      </x:c>
      <x:c r="L2" s="34" t="str">
        <x:v>D3 AI RMF Framing Risk; D3 Challenges for AI Risk Management; D3 Human-AI Interaction appendix</x:v>
      </x:c>
      <x:c r="M2" s="34" t="str">
        <x:v>An AI system should be evaluated for limitations as well as capabilities because understanding the limitations helps in identifying potential risks and unintended consequences. Limitations can lead to negative impacts, whereas capabilities can be misused or misinterpreted. Evaluating both helps in comprehending the full scope of AI's potential and risks, enabling more informed decision-making.</x:v>
      </x:c>
      <x:c r="N2" s="42" t="n">
        <x:v>4</x:v>
      </x:c>
      <x:c r="O2" s="42" t="n">
        <x:v>3</x:v>
      </x:c>
      <x:c r="P2" s="42" t="n">
        <x:v>3</x:v>
      </x:c>
      <x:c r="Q2" s="42" t="n">
        <x:v>3</x:v>
      </x:c>
      <x:c r="R2" s="42" t="n">
        <x:v>4</x:v>
      </x:c>
      <x:c r="S2" s="42" t="n">
        <x:v>3</x:v>
      </x:c>
      <x:c r="T2" s="50" t="n">
        <x:f>IF(COUNT(N2:S2)=6,AVERAGE(N2:S2),"")</x:f>
        <x:v>3.3333333333333335</x:v>
      </x:c>
      <x:c r="U2" s="34" t="str">
        <x:v>AI draft note: Explains risks and negative consequences, but omits context dependence, uncertainty, avoiding overclaiming, and responsible deployment.</x:v>
      </x:c>
      <x:c r="V2" s="52" t="str">
        <x:v>AI draft (Codex/GPT); human review required</x:v>
      </x:c>
      <x:c r="W2" s="54" t="str">
        <x:v>2026-06-29</x:v>
      </x:c>
      <x:c r="X2" s="58" t="str">
        <x:v>AI draft - needs human review</x:v>
      </x:c>
    </x:row>
    <x:row r="3" ht="84" customHeight="1">
      <x:c r="A3" s="34" t="str">
        <x:v>T2-Q023-R1</x:v>
      </x:c>
      <x:c r="B3" s="34" t="str">
        <x:v>T2</x:v>
      </x:c>
      <x:c r="C3" s="34" t="str">
        <x:v>Q023</x:v>
      </x:c>
      <x:c r="D3" s="34" t="str">
        <x:v>1</x:v>
      </x:c>
      <x:c r="E3" s="34" t="str">
        <x:v>D3</x:v>
      </x:c>
      <x:c r="F3" s="34" t="str">
        <x:v>NIST AI RMF</x:v>
      </x:c>
      <x:c r="G3" s="34" t="str">
        <x:v>explanation</x:v>
      </x:c>
      <x:c r="H3" s="34" t="str">
        <x:v>medium</x:v>
      </x:c>
      <x:c r="I3" s="34" t="str">
        <x:v>one_document</x:v>
      </x:c>
      <x:c r="J3" s="34" t="str">
        <x:v>What does it mean to consider trustworthiness in AI design and evaluation?</x:v>
      </x:c>
      <x:c r="K3" s="34" t="str">
        <x:v>A good answer should mention that trustworthiness includes more than accuracy: valid and reliable, safe, secure and resilient, accountable and transparent, explainable and interpretable, privacy-enhanced, and fair with harmful bias managed.</x:v>
      </x:c>
      <x:c r="L3" s="34" t="str">
        <x:v>D3 AI RMF section 3; D3 Figure 4 discussion</x:v>
      </x:c>
      <x:c r="M3" s="34" t="str">
        <x:v>To consider trustworthiness in AI design and evaluation, it means taking into account the various characteristics that make an AI system trustworthy or not. These characteristics are not just technical, but also social and organizational, and are influenced by the interactions between humans, AI systems, and other stakeholders.
Trustworthiness is not just about the technical aspects of an AI system, such as its accuracy or efficiency, but also about how it is designed, deployed, and used. It involves considering factors like:
1. **Human judgment**: Deciding on the specific metrics related to trustworthiness characteristics and the threshold values for those metrics.
2. **Input from interested parties**: Understanding the perspectives and needs of various stakeholders, including users, developers, and regulators.
3. **Interactions with humans**: Managing the interactions between AI systems and humans, including oversight, feedback, and guidance.
4. **Social context**: Considering the social implications and consequences of AI systems, such as biases, fairness, and transparency.
By considering trustworthiness in AI design and evaluation, developers can:
1. **Manage risks**: Identify and mitigate risks that may arise in social contexts.
2. **Enhance evaluations**: Inform contextually sensitive evaluations and identify AI system benefits and positive impacts.
3. **Increase trust**: Build trust with users, developers, and regulators by demonstrating a commitment to trustworthiness.
Ultimately, trustworthiness is a complex concept that requires a nuanced understanding of the social, organizational, and technical aspects of AI systems. By considering trustworthiness in AI design and evaluation, developers can create more trustworthy AI systems that are better equipped to support society and address complex social challenges.</x:v>
      </x:c>
      <x:c r="N3" s="42" t="n">
        <x:v>4</x:v>
      </x:c>
      <x:c r="O3" s="42" t="n">
        <x:v>3</x:v>
      </x:c>
      <x:c r="P3" s="42" t="n">
        <x:v>3</x:v>
      </x:c>
      <x:c r="Q3" s="42" t="n">
        <x:v>3</x:v>
      </x:c>
      <x:c r="R3" s="42" t="n">
        <x:v>4</x:v>
      </x:c>
      <x:c r="S3" s="42" t="n">
        <x:v>3</x:v>
      </x:c>
      <x:c r="T3" s="50" t="n">
        <x:f>IF(COUNT(N3:S3)=6,AVERAGE(N3:S3),"")</x:f>
        <x:v>3.3333333333333335</x:v>
      </x:c>
      <x:c r="U3" s="34" t="str">
        <x:v>AI draft note: Reasonable broad account of trustworthiness, but misses most of the framework's named characteristics.</x:v>
      </x:c>
      <x:c r="V3" s="52" t="str">
        <x:v>AI draft (Codex/GPT); human review required</x:v>
      </x:c>
      <x:c r="W3" s="54" t="str">
        <x:v>2026-06-29</x:v>
      </x:c>
      <x:c r="X3" s="58" t="str">
        <x:v>AI draft - needs human review</x:v>
      </x:c>
    </x:row>
    <x:row r="4" ht="84" customHeight="1">
      <x:c r="A4" s="34" t="str">
        <x:v>K8-Q024-R1</x:v>
      </x:c>
      <x:c r="B4" s="34" t="str">
        <x:v>K8</x:v>
      </x:c>
      <x:c r="C4" s="34" t="str">
        <x:v>Q024</x:v>
      </x:c>
      <x:c r="D4" s="34" t="str">
        <x:v>1</x:v>
      </x:c>
      <x:c r="E4" s="34" t="str">
        <x:v>D3</x:v>
      </x:c>
      <x:c r="F4" s="34" t="str">
        <x:v>NIST AI RMF</x:v>
      </x:c>
      <x:c r="G4" s="34" t="str">
        <x:v>source_grounded_synthesis</x:v>
      </x:c>
      <x:c r="H4" s="34" t="str">
        <x:v>hard</x:v>
      </x:c>
      <x:c r="I4" s="34" t="str">
        <x:v>one_document</x:v>
      </x:c>
      <x:c r="J4" s="34" t="str">
        <x:v>How can an AI risk framework support evaluation beyond accuracy alone?</x:v>
      </x:c>
      <x:c r="K4" s="34" t="str">
        <x:v>A good answer should explain that the framework encourages evaluation of reliability, safety, security, transparency, explainability, privacy, fairness, and context of use. In this dissertation, that supports measuring system metrics and discussing privacy, not only answer correctness.</x:v>
      </x:c>
      <x:c r="L4" s="34" t="str">
        <x:v>D3 AI RMF section 3; D3 Core functions section</x:v>
      </x:c>
      <x:c r="M4" s="34" t="str">
        <x:v>To support evaluation beyond accuracy alone, an AI risk framework should consider the following points:
1. **Quantitative and Qualitative Measurement Types**: The framework should acknowledge that new types of measurement, both quantitative and qualitative, may need to be developed. This indicates that the framework must be flexible enough to accommodate different types of measurements, which can provide unique and meaningful information about the assessment of AI risks.
2. **Unique and Meaningful Information**: The framework should consider the degree to which each measurement type provides unique and meaningful information about the assessment of AI risks. This implies that the framework needs to evaluate the specific information each type of measurement provides, ensuring it is meaningful and relevant to the overall assessment of AI risks.
3. **Comprehensive Evaluation**: The AI RMF should enhance its users' capacity to comprehensively evaluate system trustworthiness, identify and track existing and emergent risks, and verify the efficacy of the metrics. This suggests that the framework needs to provide a holistic view of the AI risk management process, including all the different types of measurements, to be truly comprehensive.
4. **Outcome-Focused and Non-Prescriptive**: The AI RMF should be useful to a wide range of perspectives, sectors, and technology domains. This indicates that the framework needs to be adaptable to different contexts and be useful for different types of AI risks. It also suggests that the framework should be outcome-focused and non-prescriptive, allowing it to be used in different contexts.
5. **Universality and Context-Specific**: The AI RMF should be universally applicable to any AI technology and to context-specific use cases. This implies that the framework needs to be flexible enough to be applicable to different types of AI risks and to different contexts. It also suggests that the framework should be context-specific, allowing it to be tailored to specific use cases.
6. **Outcome-Driven and Non-Prescriptive**: The AI RMF should be outcome-focused and non-prescriptive. This means that the framework should be outcome-driven and not prescriptive, allowing it to be used in different ways and to be tailored to different contexts. It also suggests that the framework should be outcome-driven and not prescriptive, allowing it to be used in different ways and to be tailored to different contexts.
7. **Comprehensive and Holistic**: The AI RMF should be outcome-driven and non-prescriptive. This implies that the framework needs to be outcome-driven and not prescriptive, allowing it to be used in different ways and to be tailored to different contexts. It also suggests that the</x:v>
      </x:c>
      <x:c r="N4" s="42" t="n">
        <x:v>3</x:v>
      </x:c>
      <x:c r="O4" s="42" t="n">
        <x:v>2</x:v>
      </x:c>
      <x:c r="P4" s="42" t="n">
        <x:v>3</x:v>
      </x:c>
      <x:c r="Q4" s="42" t="n">
        <x:v>2</x:v>
      </x:c>
      <x:c r="R4" s="42" t="n">
        <x:v>3</x:v>
      </x:c>
      <x:c r="S4" s="42" t="n">
        <x:v>3</x:v>
      </x:c>
      <x:c r="T4" s="50" t="n">
        <x:f>IF(COUNT(N4:S4)=6,AVERAGE(N4:S4),"")</x:f>
        <x:v>2.6666666666666665</x:v>
      </x:c>
      <x:c r="U4" s="34" t="str">
        <x:v>AI draft note: Discusses broader measurement but omits the expected trustworthiness dimensions, becomes repetitive, and ends abruptly.</x:v>
      </x:c>
      <x:c r="V4" s="52" t="str">
        <x:v>AI draft (Codex/GPT); human review required</x:v>
      </x:c>
      <x:c r="W4" s="54" t="str">
        <x:v>2026-06-29</x:v>
      </x:c>
      <x:c r="X4" s="58" t="str">
        <x:v>AI draft - needs human review</x:v>
      </x:c>
    </x:row>
    <x:row r="5" ht="84" customHeight="1">
      <x:c r="A5" s="34" t="str">
        <x:v>F3-Q024-R1</x:v>
      </x:c>
      <x:c r="B5" s="34" t="str">
        <x:v>F3</x:v>
      </x:c>
      <x:c r="C5" s="34" t="str">
        <x:v>Q024</x:v>
      </x:c>
      <x:c r="D5" s="34" t="str">
        <x:v>1</x:v>
      </x:c>
      <x:c r="E5" s="34" t="str">
        <x:v>D3</x:v>
      </x:c>
      <x:c r="F5" s="34" t="str">
        <x:v>NIST AI RMF</x:v>
      </x:c>
      <x:c r="G5" s="34" t="str">
        <x:v>source_grounded_synthesis</x:v>
      </x:c>
      <x:c r="H5" s="34" t="str">
        <x:v>hard</x:v>
      </x:c>
      <x:c r="I5" s="34" t="str">
        <x:v>one_document</x:v>
      </x:c>
      <x:c r="J5" s="34" t="str">
        <x:v>How can an AI risk framework support evaluation beyond accuracy alone?</x:v>
      </x:c>
      <x:c r="K5" s="34" t="str">
        <x:v>A good answer should explain that the framework encourages evaluation of reliability, safety, security, transparency, explainability, privacy, fairness, and context of use. In this dissertation, that supports measuring system metrics and discussing privacy, not only answer correctness.</x:v>
      </x:c>
      <x:c r="L5" s="34" t="str">
        <x:v>D3 AI RMF section 3; D3 Core functions section</x:v>
      </x:c>
      <x:c r="M5" s="34" t="str">
        <x:v>An AI risk framework can support evaluation beyond accuracy by providing a comprehensive catalog of outcomes and approaches. It should be outcome-focused and non-prescriptive, offering a catalog of outcomes and approaches rather than established in GOVERN or utilized in MAP and MEASURE. Processes for assessing emergent risks are in place, along with mechanisms for continual improvement. After completing the MANAGE function, plans for prioritizing risk and regular monitoring and improvement will be in place. Framework users will have enhanced capacity to manage the risks of deployed AI systems and to allocate risk management resources based on assessed outcomes.</x:v>
      </x:c>
      <x:c r="N5" s="42" t="n">
        <x:v>3</x:v>
      </x:c>
      <x:c r="O5" s="42" t="n">
        <x:v>3</x:v>
      </x:c>
      <x:c r="P5" s="42" t="n">
        <x:v>3</x:v>
      </x:c>
      <x:c r="Q5" s="42" t="n">
        <x:v>2</x:v>
      </x:c>
      <x:c r="R5" s="42" t="n">
        <x:v>4</x:v>
      </x:c>
      <x:c r="S5" s="42" t="n">
        <x:v>3</x:v>
      </x:c>
      <x:c r="T5" s="50" t="n">
        <x:f>IF(COUNT(N5:S5)=6,AVERAGE(N5:S5),"")</x:f>
        <x:v>3</x:v>
      </x:c>
      <x:c r="U5" s="34" t="str">
        <x:v>AI draft note: Relevant risk-management framing, but it does not identify reliability, safety, security, privacy, fairness, or explainability.</x:v>
      </x:c>
      <x:c r="V5" s="52" t="str">
        <x:v>AI draft (Codex/GPT); human review required</x:v>
      </x:c>
      <x:c r="W5" s="54" t="str">
        <x:v>2026-06-29</x:v>
      </x:c>
      <x:c r="X5" s="58" t="str">
        <x:v>AI draft - needs human review</x:v>
      </x:c>
    </x:row>
    <x:row r="6" ht="84" customHeight="1">
      <x:c r="A6" s="34" t="str">
        <x:v>M4-Q022-R1</x:v>
      </x:c>
      <x:c r="B6" s="34" t="str">
        <x:v>M4</x:v>
      </x:c>
      <x:c r="C6" s="34" t="str">
        <x:v>Q022</x:v>
      </x:c>
      <x:c r="D6" s="34" t="str">
        <x:v>1</x:v>
      </x:c>
      <x:c r="E6" s="34" t="str">
        <x:v>D3</x:v>
      </x:c>
      <x:c r="F6" s="34" t="str">
        <x:v>NIST AI RMF</x:v>
      </x:c>
      <x:c r="G6" s="34" t="str">
        <x:v>explanation</x:v>
      </x:c>
      <x:c r="H6" s="34" t="str">
        <x:v>medium</x:v>
      </x:c>
      <x:c r="I6" s="34" t="str">
        <x:v>one_document</x:v>
      </x:c>
      <x:c r="J6" s="34" t="str">
        <x:v>Why does AI risk management matter when deploying AI systems?</x:v>
      </x:c>
      <x:c r="K6" s="34" t="str">
        <x:v>A good answer should explain that AI systems can create risks for individuals, organisations, society, and the environment. Risk management helps identify, document, reduce, and monitor negative impacts while supporting trustworthy and responsible use.</x:v>
      </x:c>
      <x:c r="L6" s="34" t="str">
        <x:v>D3 AI RMF Executive Summary; D3 Framing Risk section</x:v>
      </x:c>
      <x:c r="M6" s="34" t="str">
        <x:v>AI risk management is crucial when deploying AI systems because it helps ensure that the risks associated with the AI system are understood and managed effectively. This is particularly important as the methods, contexts, risks, and needs or expectations from relevant AI actors evolve over time. Additionally, it is incumbent upon Framework users to continue applying the MANAGE function to deployed AI systems as these factors and needs or expectations change. The lack of transparency in risk metrics and methodologies used by AI systems can complicate risk measurement and management, especially when integrating third-party data or systems into AI products or services. Regardless, all parties and AI actors should manage risk in the AI systems they develop, deploy, or use as standalone or integrated components. Tracking emergent risks is essential to ensure that risks are managed safely and effectively. When an AI system is found to be low-risk in a specific context, it may suggest a lower prioritization of risk management efforts. The initial prioritization of risks may differ between AI systems designed or deployed to directly interact with humans compared to those that are not. Higher initial prioritization may be necessary in settings where the AI system is directly involved with humans.</x:v>
      </x:c>
      <x:c r="N6" s="42" t="n">
        <x:v>4</x:v>
      </x:c>
      <x:c r="O6" s="42" t="n">
        <x:v>4</x:v>
      </x:c>
      <x:c r="P6" s="42" t="n">
        <x:v>4</x:v>
      </x:c>
      <x:c r="Q6" s="42" t="n">
        <x:v>3</x:v>
      </x:c>
      <x:c r="R6" s="42" t="n">
        <x:v>4</x:v>
      </x:c>
      <x:c r="S6" s="42" t="n">
        <x:v>4</x:v>
      </x:c>
      <x:c r="T6" s="50" t="n">
        <x:f>IF(COUNT(N6:S6)=6,AVERAGE(N6:S6),"")</x:f>
        <x:v>3.8333333333333335</x:v>
      </x:c>
      <x:c r="U6" s="34" t="str">
        <x:v>AI draft note: Strong explanation of evolving risk and monitoring, but does not clearly enumerate affected parties or environmental and societal impacts.</x:v>
      </x:c>
      <x:c r="V6" s="52" t="str">
        <x:v>AI draft (Codex/GPT); human review required</x:v>
      </x:c>
      <x:c r="W6" s="54" t="str">
        <x:v>2026-06-29</x:v>
      </x:c>
      <x:c r="X6" s="58" t="str">
        <x:v>AI draft - needs human review</x:v>
      </x:c>
    </x:row>
    <x:row r="7" ht="84" customHeight="1">
      <x:c r="A7" s="34" t="str">
        <x:v>K8-Q030-R1</x:v>
      </x:c>
      <x:c r="B7" s="34" t="str">
        <x:v>K8</x:v>
      </x:c>
      <x:c r="C7" s="34" t="str">
        <x:v>Q030</x:v>
      </x:c>
      <x:c r="D7" s="34" t="str">
        <x:v>1</x:v>
      </x:c>
      <x:c r="E7" s="34" t="str">
        <x:v>D4</x:v>
      </x:c>
      <x:c r="F7" s="34" t="str">
        <x:v>ICO AI Data Protection Guidance</x:v>
      </x:c>
      <x:c r="G7" s="34" t="str">
        <x:v>fact_retrieval</x:v>
      </x:c>
      <x:c r="H7" s="34" t="str">
        <x:v>easy</x:v>
      </x:c>
      <x:c r="I7" s="34" t="str">
        <x:v>one_document</x:v>
      </x:c>
      <x:c r="J7" s="34" t="str">
        <x:v>What data protection principles are relevant to AI systems?</x:v>
      </x:c>
      <x:c r="K7" s="34" t="str">
        <x:v>A good answer should mention relevant principles covered by the ICO guidance: accountability and governance, transparency, lawfulness, accuracy, fairness, security, data minimisation, and individual rights.</x:v>
      </x:c>
      <x:c r="L7" s="34" t="str">
        <x:v>D4 ICO guidance contents page</x:v>
      </x:c>
      <x:c r="M7" s="34" t="str">
        <x:v>The question asks about what data protection principles are relevant to AI systems, and the answer is that these principles are relevant to AI systems. However, the context provided does not include any specific principles or guidelines that are relevant to AI systems. Instead, it seems to be a general overview of how AI systems might be adopted and managed, without delving into the specifics of data protection principles. The context focuses on the overall approach to AI systems, including ensuring that all functions and those responsible for its development, testing, validation, deployment, and monitoring are adequately trained to understand the statistical accuracy requirements and measures; ensuring that data is clearly labelled as inferences and predictions, and is not claimed to be factual; and managing trade-offs and reasonable expectations. It also mentions adopting common principles and ensuring ICOs AI guidance is user-friendly, reduces the burden of compliance for organisations and reflects upcoming changes in relation to AI regulation and data protection. However, the context does not provide a direct answer to the question of what data protection principles are relevant to AI systems. The context seems to be more of a general overview of how AI systems might be adopted and managed, rather than a specific set of principles.</x:v>
      </x:c>
      <x:c r="N7" s="42" t="n">
        <x:v>1</x:v>
      </x:c>
      <x:c r="O7" s="42" t="n">
        <x:v>1</x:v>
      </x:c>
      <x:c r="P7" s="42" t="n">
        <x:v>2</x:v>
      </x:c>
      <x:c r="Q7" s="42" t="n">
        <x:v>1</x:v>
      </x:c>
      <x:c r="R7" s="42" t="n">
        <x:v>3</x:v>
      </x:c>
      <x:c r="S7" s="42" t="n">
        <x:v>2</x:v>
      </x:c>
      <x:c r="T7" s="50" t="n">
        <x:f>IF(COUNT(N7:S7)=6,AVERAGE(N7:S7),"")</x:f>
        <x:v>1.6666666666666667</x:v>
      </x:c>
      <x:c r="U7" s="34" t="str">
        <x:v>AI draft note: Fails to list the requested data-protection principles and substitutes a meta-discussion of context.</x:v>
      </x:c>
      <x:c r="V7" s="52" t="str">
        <x:v>AI draft (Codex/GPT); human review required</x:v>
      </x:c>
      <x:c r="W7" s="54" t="str">
        <x:v>2026-06-29</x:v>
      </x:c>
      <x:c r="X7" s="58" t="str">
        <x:v>AI draft - needs human review</x:v>
      </x:c>
    </x:row>
    <x:row r="8" ht="84" customHeight="1">
      <x:c r="A8" s="34" t="str">
        <x:v>T2-Q018-R1</x:v>
      </x:c>
      <x:c r="B8" s="34" t="str">
        <x:v>T2</x:v>
      </x:c>
      <x:c r="C8" s="34" t="str">
        <x:v>Q018</x:v>
      </x:c>
      <x:c r="D8" s="34" t="str">
        <x:v>1</x:v>
      </x:c>
      <x:c r="E8" s="34" t="str">
        <x:v>D2</x:v>
      </x:c>
      <x:c r="F8" s="34" t="str">
        <x:v>llama.cpp README</x:v>
      </x:c>
      <x:c r="G8" s="34" t="str">
        <x:v>explanation</x:v>
      </x:c>
      <x:c r="H8" s="34" t="str">
        <x:v>medium</x:v>
      </x:c>
      <x:c r="I8" s="34" t="str">
        <x:v>one_document</x:v>
      </x:c>
      <x:c r="J8" s="34" t="str">
        <x:v>What does local inference change about where model computation happens?</x:v>
      </x:c>
      <x:c r="K8" s="34" t="str">
        <x:v>A good answer should say that computation can happen on the user's own machine rather than a remote cloud provider, depending on setup. The answer should avoid overstating privacy because local computation still leaves local storage, logs, and device-security issues.</x:v>
      </x:c>
      <x:c r="L8" s="34" t="str">
        <x:v>D2 README Description; D4 ICO security/data minimisation for limitation context</x:v>
      </x:c>
      <x:c r="M8" s="34" t="str">
        <x:v>Local inference changes where the machine learning (ML) model is hosted from. In this context, the model is hosted on the device from which the query is generated, which already collects and stores individuals' personal data. This means that the model is running locally on the user's device, rather than being hosted on a cloud server.
This change in location can affect the model's computation and decision-making process. Here's why:
1. **Reduced latency**: By running the model locally, the computation time is reduced, as the device doesn't need to send the data to a cloud server. This can lead to faster response times and improved user experience.
2. **Increased accuracy**: Local inference can lead to more accurate predictions, as the model can process the data more efficiently and make more informed decisions.
3. **Enhanced security**: By hosting the model locally, the risk of membership inference attacks is reduced, as the model is not exposed to external data that could be used to infer membership.
However, local inference also introduces some new considerations:
1. **Data storage**: The model requires storage space on the device, which can be a concern if the device is limited in terms of storage capacity.
2. **Computational resources**: The device may not have the necessary computational resources to run the model efficiently, which can impact performance.
3. **Network connectivity**: The device may not have a stable or reliable network connection, which can impact the model's ability to access data and communicate with the cloud server.
Overall, local inference can provide several benefits, including faster response times, improved accuracy, and enhanced security. However, it also introduces some new considerations that need to be carefully managed.</x:v>
      </x:c>
      <x:c r="N8" s="42" t="n">
        <x:v>4</x:v>
      </x:c>
      <x:c r="O8" s="42" t="n">
        <x:v>3</x:v>
      </x:c>
      <x:c r="P8" s="42" t="n">
        <x:v>2</x:v>
      </x:c>
      <x:c r="Q8" s="42" t="n">
        <x:v>3</x:v>
      </x:c>
      <x:c r="R8" s="42" t="n">
        <x:v>2</x:v>
      </x:c>
      <x:c r="S8" s="42" t="n">
        <x:v>2</x:v>
      </x:c>
      <x:c r="T8" s="50" t="n">
        <x:f>IF(COUNT(N8:S8)=6,AVERAGE(N8:S8),"")</x:f>
        <x:v>2.6666666666666665</x:v>
      </x:c>
      <x:c r="U8" s="34" t="str">
        <x:v>AI draft note: Correctly relocates computation to the device, but adds unsupported accuracy and security benefits and misses local logs and device-security risks.</x:v>
      </x:c>
      <x:c r="V8" s="52" t="str">
        <x:v>AI draft (Codex/GPT); human review required</x:v>
      </x:c>
      <x:c r="W8" s="54" t="str">
        <x:v>2026-06-29</x:v>
      </x:c>
      <x:c r="X8" s="58" t="str">
        <x:v>AI draft - needs human review</x:v>
      </x:c>
    </x:row>
    <x:row r="9" ht="84" customHeight="1">
      <x:c r="A9" s="34" t="str">
        <x:v>T2-Q037-R1</x:v>
      </x:c>
      <x:c r="B9" s="34" t="str">
        <x:v>T2</x:v>
      </x:c>
      <x:c r="C9" s="34" t="str">
        <x:v>Q037</x:v>
      </x:c>
      <x:c r="D9" s="34" t="str">
        <x:v>1</x:v>
      </x:c>
      <x:c r="E9" s="34" t="str">
        <x:v>D4</x:v>
      </x:c>
      <x:c r="F9" s="34" t="str">
        <x:v>ICO AI Data Protection Guidance</x:v>
      </x:c>
      <x:c r="G9" s="34" t="str">
        <x:v>boundary_limitation</x:v>
      </x:c>
      <x:c r="H9" s="34" t="str">
        <x:v>hard</x:v>
      </x:c>
      <x:c r="I9" s="34" t="str">
        <x:v>one_document</x:v>
      </x:c>
      <x:c r="J9" s="34" t="str">
        <x:v>Why does keeping processing local not remove all data protection responsibilities?</x:v>
      </x:c>
      <x:c r="K9" s="34" t="str">
        <x:v>A good answer should explain that data protection obligations apply whenever personal data is processed, regardless of whether processing is local or cloud-based. Local systems still require lawful basis, transparency, security controls, minimisation, retention management, and accountability.</x:v>
      </x:c>
      <x:c r="L9" s="34" t="str">
        <x:v>D4 ICO lawfulness chapter; D4 transparency chapter; D4 security and data minimisation chapter</x:v>
      </x:c>
      <x:c r="M9" s="34" t="str">
        <x:v>Keeping data processing local on users' own hardware may seem like a way to avoid data protection responsibilities. However, this is not entirely accurate. Even if the personal data is being processed on the user's device, the organization that creates and distributes the model still retains control over the processing means and purposes.
This is because the organization can choose to store the processed data on their servers, which means they can still access and use the data for other purposes. This raises concerns about the organization's ability to balance the user's interests with their own, and whether they are truly protecting the user's data.
In addition, even if the organization is not processing the data for commercial or societal interests, they can still be considered a controller in the eyes of data protection law. This means they must still ensure that the processing is lawful, fair, and transparent, and that the user's rights are respected.
The key to avoiding data protection responsibilities is to ensure that the processing is lawful, fair, and transparent. This means that the organization must assess the impact of the processing on individuals and demonstrate that there is a compelling benefit to the processing. They must also be able to show that the processing is necessary and proportionate, and that they are taking on additional responsibility for considering and protecting the user's rights and interests.
In summary, while keeping data processing local on users' own hardware may seem like a way to avoid responsibilities, it is not entirely accurate. The organization that creates and distributes the model still retains control over the processing means and purposes, and must still ensure that the processing is lawful, fair, and transparent.</x:v>
      </x:c>
      <x:c r="N9" s="42" t="n">
        <x:v>4</x:v>
      </x:c>
      <x:c r="O9" s="42" t="n">
        <x:v>3</x:v>
      </x:c>
      <x:c r="P9" s="42" t="n">
        <x:v>3</x:v>
      </x:c>
      <x:c r="Q9" s="42" t="n">
        <x:v>3</x:v>
      </x:c>
      <x:c r="R9" s="42" t="n">
        <x:v>3</x:v>
      </x:c>
      <x:c r="S9" s="42" t="n">
        <x:v>3</x:v>
      </x:c>
      <x:c r="T9" s="50" t="n">
        <x:f>IF(COUNT(N9:S9)=6,AVERAGE(N9:S9),"")</x:f>
        <x:v>3.1666666666666665</x:v>
      </x:c>
      <x:c r="U9" s="34" t="str">
        <x:v>AI draft note: Correct that local processing retains legal duties, but overgeneralises controller status and omits security, minimisation, retention, and accountability.</x:v>
      </x:c>
      <x:c r="V9" s="52" t="str">
        <x:v>AI draft (Codex/GPT); human review required</x:v>
      </x:c>
      <x:c r="W9" s="54" t="str">
        <x:v>2026-06-29</x:v>
      </x:c>
      <x:c r="X9" s="58" t="str">
        <x:v>AI draft - needs human review</x:v>
      </x:c>
    </x:row>
    <x:row r="10" ht="84" customHeight="1">
      <x:c r="A10" s="34" t="str">
        <x:v>K8-Q006-R1</x:v>
      </x:c>
      <x:c r="B10" s="34" t="str">
        <x:v>K8</x:v>
      </x:c>
      <x:c r="C10" s="34" t="str">
        <x:v>Q006</x:v>
      </x:c>
      <x:c r="D10" s="34" t="str">
        <x:v>1</x:v>
      </x:c>
      <x:c r="E10" s="34" t="str">
        <x:v>D1</x:v>
      </x:c>
      <x:c r="F10" s="34" t="str">
        <x:v>RAG Paper</x:v>
      </x:c>
      <x:c r="G10" s="34" t="str">
        <x:v>comparison</x:v>
      </x:c>
      <x:c r="H10" s="34" t="str">
        <x:v>medium</x:v>
      </x:c>
      <x:c r="I10" s="34" t="str">
        <x:v>one_document</x:v>
      </x:c>
      <x:c r="J10" s="34" t="str">
        <x:v>What is the difference between generating from model parameters alone and generating with retrieved passages?</x:v>
      </x:c>
      <x:c r="K10" s="34" t="str">
        <x:v>A good answer should contrast closed-book generation with retrieval-augmented generation. Parametric-only generation relies on internal model weights, while RAG adds retrieved passages as evidence and context, allowing more specific and factual answers when retrieval succeeds.</x:v>
      </x:c>
      <x:c r="L10" s="34" t="str">
        <x:v>D1 Introduction; D1 Open-domain QA section; D1 Results sections 4.1-4.3</x:v>
      </x:c>
      <x:c r="M10" s="34" t="str">
        <x:v>The context suggests that the answer is that there are two main approaches to generating text: 1. Generating from model parameters alone, which involves using the model to generate text without any additional context or retrieval of information. 2. Generating with retrieved passages, which involves using the model to generate text by retrieving and using specific passages that are relevant to the task or context. This approach requires the model to access and use the non-parametric memory, which in this context appears to be a pre-trained Wikipedia-based system.</x:v>
      </x:c>
      <x:c r="N10" s="42" t="n">
        <x:v>4</x:v>
      </x:c>
      <x:c r="O10" s="42" t="n">
        <x:v>3</x:v>
      </x:c>
      <x:c r="P10" s="42" t="n">
        <x:v>3</x:v>
      </x:c>
      <x:c r="Q10" s="42" t="n">
        <x:v>3</x:v>
      </x:c>
      <x:c r="R10" s="42" t="n">
        <x:v>4</x:v>
      </x:c>
      <x:c r="S10" s="42" t="n">
        <x:v>3</x:v>
      </x:c>
      <x:c r="T10" s="50" t="n">
        <x:f>IF(COUNT(N10:S10)=6,AVERAGE(N10:S10),"")</x:f>
        <x:v>3.3333333333333335</x:v>
      </x:c>
      <x:c r="U10" s="34" t="str">
        <x:v>AI draft note: Identifies parametric-only and retrieval-assisted generation, but does not clearly explain evidence grounding or improved factual specificity.</x:v>
      </x:c>
      <x:c r="V10" s="52" t="str">
        <x:v>AI draft (Codex/GPT); human review required</x:v>
      </x:c>
      <x:c r="W10" s="54" t="str">
        <x:v>2026-06-29</x:v>
      </x:c>
      <x:c r="X10" s="58" t="str">
        <x:v>AI draft - needs human review</x:v>
      </x:c>
    </x:row>
    <x:row r="11" ht="84" customHeight="1">
      <x:c r="A11" s="34" t="str">
        <x:v>F3-Q020-R1</x:v>
      </x:c>
      <x:c r="B11" s="34" t="str">
        <x:v>F3</x:v>
      </x:c>
      <x:c r="C11" s="34" t="str">
        <x:v>Q020</x:v>
      </x:c>
      <x:c r="D11" s="34" t="str">
        <x:v>1</x:v>
      </x:c>
      <x:c r="E11" s="34" t="str">
        <x:v>D2</x:v>
      </x:c>
      <x:c r="F11" s="34" t="str">
        <x:v>llama.cpp README</x:v>
      </x:c>
      <x:c r="G11" s="34" t="str">
        <x:v>boundary_limitation</x:v>
      </x:c>
      <x:c r="H11" s="34" t="str">
        <x:v>hard</x:v>
      </x:c>
      <x:c r="I11" s="34" t="str">
        <x:v>one_document</x:v>
      </x:c>
      <x:c r="J11" s="34" t="str">
        <x:v>What deployment limitation might still remain even if the runtime supports local inference?</x:v>
      </x:c>
      <x:c r="K11" s="34" t="str">
        <x:v>A good answer should note that local inference does not remove limits such as model size, memory, CPU/GPU speed, supported formats, software setup, and security of the local device. It should present local deployment as practical but still constrained.</x:v>
      </x:c>
      <x:c r="L11" s="34" t="str">
        <x:v>D2 README Description; D2 Quick start; D4 ICO security/data minimisation context</x:v>
      </x:c>
      <x:c r="M11" s="34" t="str">
        <x:v>Even if the runtime supports local inference, there might still be limitations that prevent it from fully leveraging the potential of local inference. These limitations could include:
1. **Data Privacy and Security**: Local inference can be less secure compared to distributed inference, which can handle larger datasets and more complex models. Local inference may not be able to provide the same level of data privacy and security as distributed inference, which can handle larger datasets and more complex models.
2. **Resource Constraints**: Local inference may not be able to fully utilize the computational resources available in a local environment. This could limit the scalability and efficiency of the model, especially if the model is complex or large.
3. **Model Complexity**: Local inference may not be able to fully leverage the complexity of the model. Local inference can be limited by the size and complexity of the model, which can make it difficult to train and deploy the model effectively.
4. **Data Quality**: Local inference may not be able to fully utilize the quality of the data available in a local environment. Local inference can be limited by the quality of the data, which can make it difficult to train and deploy the model effectively.
5. **Model Performance**: Local inference may not be able to fully leverage the performance of the model. Local inference can be limited by the performance of the model, which can make it difficult to train and deploy the model effectively.
To mitigate these limitations, it is important to:
1. **Implement Data Privacy and Security**: Ensure that local inference is secure and that the data is protected from potential data privacy and security threats.
2. **Monitor and Test**: Monitor the model during deployment and test it thoroughly to ensure that it is functioning as intended and that it is not being used for malicious purposes.
3. **Use a Common Terminology**: Use a common terminology that staff can use to discuss statistical accuracy performance measures, including their limitations and any adverse impact on individuals.
4. **Consider White Box Attacks**: Consider the risk of white box attacks and assess the appropriate measures to evaluate it from the design phase and test it thoroughly.
5. **Ensure Scalability and Efficiency**: Ensure that the model can be deployed and trained efficiently, even if the runtime supports local inference.
6. **Use a Common Framework**: Use a common framework that staff can use to discuss statistical accuracy performance measures, including their limitations and any adverse impact on individuals.
7. **Regular Audits**: Regularly audit the model and its performance to ensure that it is functioning as intended and that it is not being used for malicious purposes</x:v>
      </x:c>
      <x:c r="N11" s="42" t="n">
        <x:v>3</x:v>
      </x:c>
      <x:c r="O11" s="42" t="n">
        <x:v>2</x:v>
      </x:c>
      <x:c r="P11" s="42" t="n">
        <x:v>2</x:v>
      </x:c>
      <x:c r="Q11" s="42" t="n">
        <x:v>3</x:v>
      </x:c>
      <x:c r="R11" s="42" t="n">
        <x:v>2</x:v>
      </x:c>
      <x:c r="S11" s="42" t="n">
        <x:v>2</x:v>
      </x:c>
      <x:c r="T11" s="50" t="n">
        <x:f>IF(COUNT(N11:S11)=6,AVERAGE(N11:S11),"")</x:f>
        <x:v>2.3333333333333335</x:v>
      </x:c>
      <x:c r="U11" s="34" t="str">
        <x:v>AI draft note: Names resource and model constraints, but is repetitive and introduces unsupported claims that local inference is less secure and less accurate.</x:v>
      </x:c>
      <x:c r="V11" s="52" t="str">
        <x:v>AI draft (Codex/GPT); human review required</x:v>
      </x:c>
      <x:c r="W11" s="54" t="str">
        <x:v>2026-06-29</x:v>
      </x:c>
      <x:c r="X11" s="58" t="str">
        <x:v>AI draft - needs human review</x:v>
      </x:c>
    </x:row>
    <x:row r="12" ht="84" customHeight="1">
      <x:c r="A12" s="34" t="str">
        <x:v>R9-Q015-R1</x:v>
      </x:c>
      <x:c r="B12" s="34" t="str">
        <x:v>R9</x:v>
      </x:c>
      <x:c r="C12" s="34" t="str">
        <x:v>Q015</x:v>
      </x:c>
      <x:c r="D12" s="34" t="str">
        <x:v>1</x:v>
      </x:c>
      <x:c r="E12" s="34" t="str">
        <x:v>D2</x:v>
      </x:c>
      <x:c r="F12" s="34" t="str">
        <x:v>llama.cpp README</x:v>
      </x:c>
      <x:c r="G12" s="34" t="str">
        <x:v>fact_retrieval</x:v>
      </x:c>
      <x:c r="H12" s="34" t="str">
        <x:v>easy</x:v>
      </x:c>
      <x:c r="I12" s="34" t="str">
        <x:v>one_document</x:v>
      </x:c>
      <x:c r="J12" s="34" t="str">
        <x:v>What is the purpose of running llama-server rather than only a command-line model?</x:v>
      </x:c>
      <x:c r="K12" s="34" t="str">
        <x:v>A good answer should say that llama-server starts a local HTTP server for serving the model, including a web UI and chat completion endpoint, so other applications such as a backend can call it over HTTP.</x:v>
      </x:c>
      <x:c r="L12" s="34" t="str">
        <x:v>D2 README llama-server section</x:v>
      </x:c>
      <x:c r="M12" s="34" t="str">
        <x:v>The purpose of running llama-server rather than only a command-line model is to provide a lightweight, OpenAI API compatible, HTTP server for serving LLMs. This server allows for the serving of LLMs with minimal setup and state-of-the-art performance across a wide range of tasks. It supports multiple users and parallel decoding, enabling up to 4 concurrent requests with a maximum context size of 16384. Additionally, llama.cpp requires the model to be stored in the GGUF file format, and models in other data formats can be converted to GGUF using the convert_*.py Python scripts in this repository. The Hugging Face platform offers tools for converting, quantizing, and hosting models with llama.cpp, including the GGUF-my-repo space for converting to GGUF format and quantizing model weights to smaller sizes, and the GGUF-my-LoRA space for converting LoRA adapters to smaller sizes.</x:v>
      </x:c>
      <x:c r="N12" s="42" t="n">
        <x:v>4</x:v>
      </x:c>
      <x:c r="O12" s="42" t="n">
        <x:v>4</x:v>
      </x:c>
      <x:c r="P12" s="42" t="n">
        <x:v>4</x:v>
      </x:c>
      <x:c r="Q12" s="42" t="n">
        <x:v>4</x:v>
      </x:c>
      <x:c r="R12" s="42" t="n">
        <x:v>3</x:v>
      </x:c>
      <x:c r="S12" s="42" t="n">
        <x:v>4</x:v>
      </x:c>
      <x:c r="T12" s="50" t="n">
        <x:f>IF(COUNT(N12:S12)=6,AVERAGE(N12:S12),"")</x:f>
        <x:v>3.8333333333333335</x:v>
      </x:c>
      <x:c r="U12" s="34" t="str">
        <x:v>AI draft note: Correctly explains HTTP and OpenAI-compatible serving for application access; some version-specific concurrency details are unnecessary and potentially unstable.</x:v>
      </x:c>
      <x:c r="V12" s="52" t="str">
        <x:v>AI draft (Codex/GPT); human review required</x:v>
      </x:c>
      <x:c r="W12" s="54" t="str">
        <x:v>2026-06-29</x:v>
      </x:c>
      <x:c r="X12" s="58" t="str">
        <x:v>AI draft - needs human review</x:v>
      </x:c>
    </x:row>
    <x:row r="13" ht="84" customHeight="1">
      <x:c r="A13" s="34" t="str">
        <x:v>K8-Q029-R1</x:v>
      </x:c>
      <x:c r="B13" s="34" t="str">
        <x:v>K8</x:v>
      </x:c>
      <x:c r="C13" s="34" t="str">
        <x:v>Q029</x:v>
      </x:c>
      <x:c r="D13" s="34" t="str">
        <x:v>1</x:v>
      </x:c>
      <x:c r="E13" s="34" t="str">
        <x:v>D3</x:v>
      </x:c>
      <x:c r="F13" s="34" t="str">
        <x:v>NIST AI RMF</x:v>
      </x:c>
      <x:c r="G13" s="34" t="str">
        <x:v>comparison</x:v>
      </x:c>
      <x:c r="H13" s="34" t="str">
        <x:v>medium</x:v>
      </x:c>
      <x:c r="I13" s="34" t="str">
        <x:v>one_document</x:v>
      </x:c>
      <x:c r="J13" s="34" t="str">
        <x:v>Why is it useful to separate technical performance from broader trust and governance concerns?</x:v>
      </x:c>
      <x:c r="K13" s="34" t="str">
        <x:v>A good answer should explain that high technical performance does not guarantee transparency, security, fairness, privacy, or accountability. Separating these concepts makes the dissertation recommendation conditional and more defensible.</x:v>
      </x:c>
      <x:c r="L13" s="34" t="str">
        <x:v>D3 AI RMF section 3 trustworthiness; D3 Figure 4 discussion</x:v>
      </x:c>
      <x:c r="M13" s="34" t="str">
        <x:v>It is useful to separate technical performance from broader trust and governance concerns because the two areas are often intertwined and it is important to understand the context and social and organizational factors that influence AI systems. The datasets used, selection of AI models and algorithms, and the decisions made by those who build them are all influenced by these factors. Additionally, the interactions with the humans who provide insight and oversight of AI systems are also important. Therefore, separating technical performance from broader trust and governance concerns allows for a more comprehensive understanding of AI systems and their impact on organizations.</x:v>
      </x:c>
      <x:c r="N13" s="42" t="n">
        <x:v>3</x:v>
      </x:c>
      <x:c r="O13" s="42" t="n">
        <x:v>3</x:v>
      </x:c>
      <x:c r="P13" s="42" t="n">
        <x:v>3</x:v>
      </x:c>
      <x:c r="Q13" s="42" t="n">
        <x:v>2</x:v>
      </x:c>
      <x:c r="R13" s="42" t="n">
        <x:v>4</x:v>
      </x:c>
      <x:c r="S13" s="42" t="n">
        <x:v>3</x:v>
      </x:c>
      <x:c r="T13" s="50" t="n">
        <x:f>IF(COUNT(N13:S13)=6,AVERAGE(N13:S13),"")</x:f>
        <x:v>3</x:v>
      </x:c>
      <x:c r="U13" s="34" t="str">
        <x:v>AI draft note: Recognises that deployment and risk considerations matter, but does not clearly separate technical performance from privacy, fairness, transparency, and accountability.</x:v>
      </x:c>
      <x:c r="V13" s="52" t="str">
        <x:v>AI draft (Codex/GPT); human review required</x:v>
      </x:c>
      <x:c r="W13" s="54" t="str">
        <x:v>2026-06-29</x:v>
      </x:c>
      <x:c r="X13" s="58" t="str">
        <x:v>AI draft - needs human review</x:v>
      </x:c>
    </x:row>
    <x:row r="14" ht="84" customHeight="1">
      <x:c r="A14" s="34" t="str">
        <x:v>K8-Q028-R1</x:v>
      </x:c>
      <x:c r="B14" s="34" t="str">
        <x:v>K8</x:v>
      </x:c>
      <x:c r="C14" s="34" t="str">
        <x:v>Q028</x:v>
      </x:c>
      <x:c r="D14" s="34" t="str">
        <x:v>1</x:v>
      </x:c>
      <x:c r="E14" s="34" t="str">
        <x:v>D3</x:v>
      </x:c>
      <x:c r="F14" s="34" t="str">
        <x:v>NIST AI RMF</x:v>
      </x:c>
      <x:c r="G14" s="34" t="str">
        <x:v>explanation</x:v>
      </x:c>
      <x:c r="H14" s="34" t="str">
        <x:v>medium</x:v>
      </x:c>
      <x:c r="I14" s="34" t="str">
        <x:v>one_document</x:v>
      </x:c>
      <x:c r="J14" s="34" t="str">
        <x:v>How does risk management help frame deployment practicality?</x:v>
      </x:c>
      <x:c r="K14" s="34" t="str">
        <x:v>A good answer should say that deployment practicality includes managing risks, context, operational controls, monitoring, governance, and acceptable trade-offs. A model that runs is not automatically suitable unless its risks and constraints are manageable.</x:v>
      </x:c>
      <x:c r="L14" s="34" t="str">
        <x:v>D3 AI RMF Executive Summary; D3 Core functions Govern Map Measure Manage</x:v>
      </x:c>
      <x:c r="M14" s="34" t="str">
        <x:v>    The context provided indicates that risk management is a critical component of the AI RMF, 1.0. It suggests that AI risk management can be used to help minimize potential negative impacts of AI systems, such as threats to civil liberties and rights. However, it also notes that AI risk management is not the same for all AI systems and that resources can be allocated purposefully. The text also mentions that actionable risk management efforts can be used to lay out clear guidelines for assessing the trustworthiness of each AI system, and that policies and resources should be prioritized based on the assessed risk level and potential impact of an AI system. The extent to which an AI system may be customized or tailored to the specific context of use by the AI deployer can also be a contributing factor. It is also stated that it is incumbent on Framework users to continue to apply the MANAGE function to deployed AI systems as methods, contexts, risks, and needs or expectations from relevant AI actors evolve over time. This suggests that the practicality of AI management is dependent on the evolving context of use and the evolving needs of the AI actors. The context does not provide a direct answer to the question "How does risk management help frame deployment practicality?" but it does suggest that the practicality of AI management is dependent on the evolving context of use and the evolving needs of the AI actors.</x:v>
      </x:c>
      <x:c r="N14" s="42" t="n">
        <x:v>3</x:v>
      </x:c>
      <x:c r="O14" s="42" t="n">
        <x:v>3</x:v>
      </x:c>
      <x:c r="P14" s="42" t="n">
        <x:v>3</x:v>
      </x:c>
      <x:c r="Q14" s="42" t="n">
        <x:v>2</x:v>
      </x:c>
      <x:c r="R14" s="42" t="n">
        <x:v>4</x:v>
      </x:c>
      <x:c r="S14" s="42" t="n">
        <x:v>3</x:v>
      </x:c>
      <x:c r="T14" s="50" t="n">
        <x:f>IF(COUNT(N14:S14)=6,AVERAGE(N14:S14),"")</x:f>
        <x:v>3</x:v>
      </x:c>
      <x:c r="U14" s="34" t="str">
        <x:v>AI draft note: Relevant discussion of risk prioritisation, but the connection to operational practicality, controls, governance, and manageable constraints is underdeveloped.</x:v>
      </x:c>
      <x:c r="V14" s="52" t="str">
        <x:v>AI draft (Codex/GPT); human review required</x:v>
      </x:c>
      <x:c r="W14" s="54" t="str">
        <x:v>2026-06-29</x:v>
      </x:c>
      <x:c r="X14" s="58" t="str">
        <x:v>AI draft - needs human review</x:v>
      </x:c>
    </x:row>
    <x:row r="15" ht="84" customHeight="1">
      <x:c r="A15" s="34" t="str">
        <x:v>F3-Q018-R1</x:v>
      </x:c>
      <x:c r="B15" s="34" t="str">
        <x:v>F3</x:v>
      </x:c>
      <x:c r="C15" s="34" t="str">
        <x:v>Q018</x:v>
      </x:c>
      <x:c r="D15" s="34" t="str">
        <x:v>1</x:v>
      </x:c>
      <x:c r="E15" s="34" t="str">
        <x:v>D2</x:v>
      </x:c>
      <x:c r="F15" s="34" t="str">
        <x:v>llama.cpp README</x:v>
      </x:c>
      <x:c r="G15" s="34" t="str">
        <x:v>explanation</x:v>
      </x:c>
      <x:c r="H15" s="34" t="str">
        <x:v>medium</x:v>
      </x:c>
      <x:c r="I15" s="34" t="str">
        <x:v>one_document</x:v>
      </x:c>
      <x:c r="J15" s="34" t="str">
        <x:v>What does local inference change about where model computation happens?</x:v>
      </x:c>
      <x:c r="K15" s="34" t="str">
        <x:v>A good answer should say that computation can happen on the user's own machine rather than a remote cloud provider, depending on setup. The answer should avoid overstating privacy because local computation still leaves local storage, logs, and device-security issues.</x:v>
      </x:c>
      <x:c r="L15" s="34" t="str">
        <x:v>D2 README Description; D4 ICO security/data minimisation for limitation context</x:v>
      </x:c>
      <x:c r="M15" s="34" t="str">
        <x:v>Local inference changes the computation location where the model is hosted on the device from which the query is generated and which already collects and stores the individuals personal data.</x:v>
      </x:c>
      <x:c r="N15" s="42" t="n">
        <x:v>4</x:v>
      </x:c>
      <x:c r="O15" s="42" t="n">
        <x:v>3</x:v>
      </x:c>
      <x:c r="P15" s="42" t="n">
        <x:v>3</x:v>
      </x:c>
      <x:c r="Q15" s="42" t="n">
        <x:v>2</x:v>
      </x:c>
      <x:c r="R15" s="42" t="n">
        <x:v>4</x:v>
      </x:c>
      <x:c r="S15" s="42" t="n">
        <x:v>3</x:v>
      </x:c>
      <x:c r="T15" s="50" t="n">
        <x:f>IF(COUNT(N15:S15)=6,AVERAGE(N15:S15),"")</x:f>
        <x:v>3.1666666666666665</x:v>
      </x:c>
      <x:c r="U15" s="34" t="str">
        <x:v>AI draft note: Correctly states that inference moves to the device, but omits the required privacy caveat about storage, logs, and device security.</x:v>
      </x:c>
      <x:c r="V15" s="52" t="str">
        <x:v>AI draft (Codex/GPT); human review required</x:v>
      </x:c>
      <x:c r="W15" s="54" t="str">
        <x:v>2026-06-29</x:v>
      </x:c>
      <x:c r="X15" s="58" t="str">
        <x:v>AI draft - needs human review</x:v>
      </x:c>
    </x:row>
    <x:row r="16" ht="84" customHeight="1">
      <x:c r="A16" s="34" t="str">
        <x:v>F3-Q021-R1</x:v>
      </x:c>
      <x:c r="B16" s="34" t="str">
        <x:v>F3</x:v>
      </x:c>
      <x:c r="C16" s="34" t="str">
        <x:v>Q021</x:v>
      </x:c>
      <x:c r="D16" s="34" t="str">
        <x:v>1</x:v>
      </x:c>
      <x:c r="E16" s="34" t="str">
        <x:v>D3</x:v>
      </x:c>
      <x:c r="F16" s="34" t="str">
        <x:v>NIST AI RMF</x:v>
      </x:c>
      <x:c r="G16" s="34" t="str">
        <x:v>fact_retrieval</x:v>
      </x:c>
      <x:c r="H16" s="34" t="str">
        <x:v>easy</x:v>
      </x:c>
      <x:c r="I16" s="34" t="str">
        <x:v>one_document</x:v>
      </x:c>
      <x:c r="J16" s="34" t="str">
        <x:v>What is the purpose of the NIST AI Risk Management Framework?</x:v>
      </x:c>
      <x:c r="K16" s="34" t="str">
        <x:v>A good answer should state that the AI RMF is a voluntary framework for managing AI risks and improving the incorporation of trustworthiness considerations into AI design, development, use, and evaluation.</x:v>
      </x:c>
      <x:c r="L16" s="34" t="str">
        <x:v>D3 NIST AI RMF web overview; D3 AI RMF Executive Summary</x:v>
      </x:c>
      <x:c r="M16" s="34" t="str">
        <x:v>The NIST AI Risk Management Framework aims to minimize potential negative impacts of AI systems, such as threats to civil liberties and rights, while also providing opportunities to maximize positive impacts. It focuses on addressing, documenting, and managing AI risks and potential negative impacts effectively.</x:v>
      </x:c>
      <x:c r="N16" s="42" t="n">
        <x:v>4</x:v>
      </x:c>
      <x:c r="O16" s="42" t="n">
        <x:v>4</x:v>
      </x:c>
      <x:c r="P16" s="42" t="n">
        <x:v>4</x:v>
      </x:c>
      <x:c r="Q16" s="42" t="n">
        <x:v>3</x:v>
      </x:c>
      <x:c r="R16" s="42" t="n">
        <x:v>5</x:v>
      </x:c>
      <x:c r="S16" s="42" t="n">
        <x:v>4</x:v>
      </x:c>
      <x:c r="T16" s="50" t="n">
        <x:f>IF(COUNT(N16:S16)=6,AVERAGE(N16:S16),"")</x:f>
        <x:v>4</x:v>
      </x:c>
      <x:c r="U16" s="34" t="str">
        <x:v>AI draft note: Accurately presents risk reduction and trustworthy AI, but omits that the framework is voluntary and applies across design, development, use, and evaluation.</x:v>
      </x:c>
      <x:c r="V16" s="52" t="str">
        <x:v>AI draft (Codex/GPT); human review required</x:v>
      </x:c>
      <x:c r="W16" s="54" t="str">
        <x:v>2026-06-29</x:v>
      </x:c>
      <x:c r="X16" s="58" t="str">
        <x:v>AI draft - needs human review</x:v>
      </x:c>
    </x:row>
    <x:row r="17" ht="84" customHeight="1">
      <x:c r="A17" s="34" t="str">
        <x:v>M4-Q033-R1</x:v>
      </x:c>
      <x:c r="B17" s="34" t="str">
        <x:v>M4</x:v>
      </x:c>
      <x:c r="C17" s="34" t="str">
        <x:v>Q033</x:v>
      </x:c>
      <x:c r="D17" s="34" t="str">
        <x:v>1</x:v>
      </x:c>
      <x:c r="E17" s="34" t="str">
        <x:v>D4</x:v>
      </x:c>
      <x:c r="F17" s="34" t="str">
        <x:v>ICO AI Data Protection Guidance</x:v>
      </x:c>
      <x:c r="G17" s="34" t="str">
        <x:v>explanation</x:v>
      </x:c>
      <x:c r="H17" s="34" t="str">
        <x:v>medium</x:v>
      </x:c>
      <x:c r="I17" s="34" t="str">
        <x:v>one_document</x:v>
      </x:c>
      <x:c r="J17" s="34" t="str">
        <x:v>Why are accuracy and statistical accuracy relevant to AI outputs?</x:v>
      </x:c>
      <x:c r="K17" s="34" t="str">
        <x:v>A good answer should distinguish data-protection accuracy, meaning personal data is accurate and up to date, from statistical accuracy, meaning how often an AI system gives correct answers against test data. Both matter because inaccurate outputs can affect fairness and personal-data processing.</x:v>
      </x:c>
      <x:c r="L17" s="34" t="str">
        <x:v>D4 ICO accuracy and statistical accuracy chapter</x:v>
      </x:c>
      <x:c r="M17" s="34" t="str">
        <x:v>Accuracy and statistical accuracy are relevant to AI outputs because they ensure that the outputs of an AI system are processed lawfully and fairly. Statistical accuracy is crucial for ensuring that the outputs of an AI system are not misinterpreted as factual information about individuals. While overall statistical accuracy is not particularly useful, it needs to be broken down into different measures to be effective. To understand these terms, it is important to consult colleagues in the relevant technical roles.</x:v>
      </x:c>
      <x:c r="N17" s="42" t="n">
        <x:v>3</x:v>
      </x:c>
      <x:c r="O17" s="42" t="n">
        <x:v>2</x:v>
      </x:c>
      <x:c r="P17" s="42" t="n">
        <x:v>2</x:v>
      </x:c>
      <x:c r="Q17" s="42" t="n">
        <x:v>2</x:v>
      </x:c>
      <x:c r="R17" s="42" t="n">
        <x:v>3</x:v>
      </x:c>
      <x:c r="S17" s="42" t="n">
        <x:v>2</x:v>
      </x:c>
      <x:c r="T17" s="50" t="n">
        <x:f>IF(COUNT(N17:S17)=6,AVERAGE(N17:S17),"")</x:f>
        <x:v>2.3333333333333335</x:v>
      </x:c>
      <x:c r="U17" s="34" t="str">
        <x:v>AI draft note: Mentions fairness and statistical guesses but does not distinguish data-protection accuracy from measured statistical accuracy.</x:v>
      </x:c>
      <x:c r="V17" s="52" t="str">
        <x:v>AI draft (Codex/GPT); human review required</x:v>
      </x:c>
      <x:c r="W17" s="54" t="str">
        <x:v>2026-06-29</x:v>
      </x:c>
      <x:c r="X17" s="58" t="str">
        <x:v>AI draft - needs human review</x:v>
      </x:c>
    </x:row>
    <x:row r="18" ht="84" customHeight="1">
      <x:c r="A18" s="34" t="str">
        <x:v>F3-Q038-R1</x:v>
      </x:c>
      <x:c r="B18" s="34" t="str">
        <x:v>F3</x:v>
      </x:c>
      <x:c r="C18" s="34" t="str">
        <x:v>Q038</x:v>
      </x:c>
      <x:c r="D18" s="34" t="str">
        <x:v>1</x:v>
      </x:c>
      <x:c r="E18" s="34" t="str">
        <x:v>D1+D2</x:v>
      </x:c>
      <x:c r="F18" s="34" t="str">
        <x:v>RAG Paper and llama.cpp README</x:v>
      </x:c>
      <x:c r="G18" s="34" t="str">
        <x:v>comparison</x:v>
      </x:c>
      <x:c r="H18" s="34" t="str">
        <x:v>hard</x:v>
      </x:c>
      <x:c r="I18" s="34" t="str">
        <x:v>multiple_documents</x:v>
      </x:c>
      <x:c r="J18" s="34" t="str">
        <x:v>How do RAG and local deployment address different parts of the question-answering problem?</x:v>
      </x:c>
      <x:c r="K18" s="34" t="str">
        <x:v>A good answer should say that RAG addresses knowledge grounding by retrieving and using source passages, while local deployment addresses where inference runs and what hardware/runtime is used. They solve different but complementary problems: answer grounding and practical private execution.</x:v>
      </x:c>
      <x:c r="L18" s="34" t="str">
        <x:v>D1 abstract/Methods; D2 README Description/llama-server</x:v>
      </x:c>
      <x:c r="M18" s="34" t="str">
        <x:v>RAG and local deployment address the following parts of the question-answering problem:
1. **Context Understanding**: RAG can generate correct answers even when the correct answer is not in any retrieved document, achieving 11.8% accuracy in such cases for NQ, where an extractive model would score 0%. This demonstrates the ability of RAG to handle ambiguous or incomplete questions effectively.
2. **Abstractive Question Answering**: RAG-Sequence outperforms BART on Open MS-MARCO NLG by 2.6 Bleu points and 2.6 Rouge-L points. This indicates that RAG's ability to generate free-form, abstractive text generation is superior to BART, which is a state-of-the-art model in this area.
3. **Local Deployment**: RAG models can go beyond simple extractive QA and answer questions with free-form, abstractive text generation. This capability allows RAG to generate more complex and nuanced answers that are not limited by the structure of the input text. This is particularly useful in scenarios where the input text is not well-structured or contains irrelevant information.
4. **Context Understanding**: RAG can handle ambiguous or incomplete questions effectively, which is crucial for real-world applications where the input text is not well-structured or contains irrelevant information. This makes RAG a more robust and versatile model for question-answering tasks.
5. **Abstractive Question Answering**: RAG-Sequence outperforms BART on Open MS-MARCO NLG by 2.6 Bleu points and 2.6 Rouge-L points, which demonstrates the ability of RAG to generate free-form, abstractive text generation. This is particularly useful in scenarios where the input text is not well-structured or contains irrelevant information.
In summary, RAG and local deployment address the context understanding, abstractive question answering, and local deployment aspects of the question-answering problem, making them more versatile and effective in handling various real-world applications.</x:v>
      </x:c>
      <x:c r="N18" s="42" t="n">
        <x:v>2</x:v>
      </x:c>
      <x:c r="O18" s="42" t="n">
        <x:v>2</x:v>
      </x:c>
      <x:c r="P18" s="42" t="n">
        <x:v>3</x:v>
      </x:c>
      <x:c r="Q18" s="42" t="n">
        <x:v>1</x:v>
      </x:c>
      <x:c r="R18" s="42" t="n">
        <x:v>3</x:v>
      </x:c>
      <x:c r="S18" s="42" t="n">
        <x:v>3</x:v>
      </x:c>
      <x:c r="T18" s="50" t="n">
        <x:f>IF(COUNT(N18:S18)=6,AVERAGE(N18:S18),"")</x:f>
        <x:v>2.3333333333333335</x:v>
      </x:c>
      <x:c r="U18" s="34" t="str">
        <x:v>AI draft note: Discusses RAG but never explains local deployment or the complementary distinction between grounding and where inference runs.</x:v>
      </x:c>
      <x:c r="V18" s="52" t="str">
        <x:v>AI draft (Codex/GPT); human review required</x:v>
      </x:c>
      <x:c r="W18" s="54" t="str">
        <x:v>2026-06-29</x:v>
      </x:c>
      <x:c r="X18" s="58" t="str">
        <x:v>AI draft - needs human review</x:v>
      </x:c>
    </x:row>
    <x:row r="19" ht="84" customHeight="1">
      <x:c r="A19" s="34" t="str">
        <x:v>T2-Q003-R1</x:v>
      </x:c>
      <x:c r="B19" s="34" t="str">
        <x:v>T2</x:v>
      </x:c>
      <x:c r="C19" s="34" t="str">
        <x:v>Q003</x:v>
      </x:c>
      <x:c r="D19" s="34" t="str">
        <x:v>1</x:v>
      </x:c>
      <x:c r="E19" s="34" t="str">
        <x:v>D1</x:v>
      </x:c>
      <x:c r="F19" s="34" t="str">
        <x:v>RAG Paper</x:v>
      </x:c>
      <x:c r="G19" s="34" t="str">
        <x:v>explanation</x:v>
      </x:c>
      <x:c r="H19" s="34" t="str">
        <x:v>medium</x:v>
      </x:c>
      <x:c r="I19" s="34" t="str">
        <x:v>one_document</x:v>
      </x:c>
      <x:c r="J19" s="34" t="str">
        <x:v>Why is provenance important in a question-answering system?</x:v>
      </x:c>
      <x:c r="K19" s="34" t="str">
        <x:v>A good answer should connect provenance to knowing where an answer came from. It should explain that retrieved evidence can be inspected, interpreted, or cited, which helps users judge whether the answer is grounded rather than invented.</x:v>
      </x:c>
      <x:c r="L19" s="34" t="str">
        <x:v>D1 abstract; D1 Introduction</x:v>
      </x:c>
      <x:c r="M19" s="34" t="str">
        <x:v>Here's a rephrased version of the text in my own words, combining relevant parts, and addressing any gaps in the original context:
**The Importance of Factuality in Question-Answeering Systems**
In the context of question-answering systems, factuality plays a crucial role in ensuring the accuracy and reliability of the output. Factuality refers to the ability of a statement to be corroborated by trusted external sources, which is essential for maintaining the trustworthiness of the system.
**The Role of Specicity in Question-Answeering Systems**
Specicity, on the other hand, refers to the high mutual dependence between the input and output of a question-answering system. This means that the system should be able to understand the context and intent behind the input, and generate an answer that is tailored to the specific question being asked.
**The Impact of Retrieval on Fact Verication**
Our research highlights the importance of retrieval in fact verification. In our study, we used a question-answering system that employed a combination of techniques, including semantic parsing and pairwise comparative evaluation. We evaluated the system using a set of question-answer pairs, and asked users to choose between four options: question A, question B, both are good, or neither is good.
**Our Findings**
Our results show that the system performed well in fact verification, with the majority of users choosing question A as the best answer. This suggests that the system's factuality and specicity are well-suited to the task of fact verification.
**Conclusion**
In conclusion, our research highlights the importance of factuality and specicity in question-answering systems. By incorporating these factors into our system, we were able to improve its performance in fact verification. Our findings suggest that systems that prioritize factuality and specicity can be effective in maintaining the trustworthiness of the system and generating accurate answers to user queries.
**Related Work**
Our research builds on existing work in the field of question-answering systems. Prior research has shown that retrieval improves performance across a variety of NLP tasks when considered in isolation. Such tasks include open-domain question answering, fact checking, fact completion, long-form question answering, Wikipedia article generation, dialogue, translation, and language modeling.
**Evaluation Metrics**
We used pairwise comparative evaluation to evaluate the system's performance in fact verification. We compared the system's performance to that of other state-of-the-art systems, and evaluated the system's accuracy and reliability using metrics such as precision, recall,</x:v>
      </x:c>
      <x:c r="N19" s="42" t="n">
        <x:v>2</x:v>
      </x:c>
      <x:c r="O19" s="42" t="n">
        <x:v>2</x:v>
      </x:c>
      <x:c r="P19" s="42" t="n">
        <x:v>2</x:v>
      </x:c>
      <x:c r="Q19" s="42" t="n">
        <x:v>2</x:v>
      </x:c>
      <x:c r="R19" s="42" t="n">
        <x:v>2</x:v>
      </x:c>
      <x:c r="S19" s="42" t="n">
        <x:v>2</x:v>
      </x:c>
      <x:c r="T19" s="50" t="n">
        <x:f>IF(COUNT(N19:S19)=6,AVERAGE(N19:S19),"")</x:f>
        <x:v>2</x:v>
      </x:c>
      <x:c r="U19" s="34" t="str">
        <x:v>AI draft note: Confuses provenance with general factuality and specificity and does not explain inspectable retrieved evidence or citation.</x:v>
      </x:c>
      <x:c r="V19" s="52" t="str">
        <x:v>AI draft (Codex/GPT); human review required</x:v>
      </x:c>
      <x:c r="W19" s="54" t="str">
        <x:v>2026-06-29</x:v>
      </x:c>
      <x:c r="X19" s="58" t="str">
        <x:v>AI draft - needs human review</x:v>
      </x:c>
    </x:row>
    <x:row r="20" ht="84" customHeight="1">
      <x:c r="A20" s="34" t="str">
        <x:v>R9-Q040-R1</x:v>
      </x:c>
      <x:c r="B20" s="34" t="str">
        <x:v>R9</x:v>
      </x:c>
      <x:c r="C20" s="34" t="str">
        <x:v>Q040</x:v>
      </x:c>
      <x:c r="D20" s="34" t="str">
        <x:v>1</x:v>
      </x:c>
      <x:c r="E20" s="34" t="str">
        <x:v>D1+D2+D3+D4</x:v>
      </x:c>
      <x:c r="F20" s="34" t="str">
        <x:v>Multiple Sources</x:v>
      </x:c>
      <x:c r="G20" s="34" t="str">
        <x:v>source_grounded_synthesis</x:v>
      </x:c>
      <x:c r="H20" s="34" t="str">
        <x:v>hard</x:v>
      </x:c>
      <x:c r="I20" s="34" t="str">
        <x:v>multiple_documents</x:v>
      </x:c>
      <x:c r="J20" s="34" t="str">
        <x:v>Based on the source documents why should the dissertation conclusion be a conditional recommendation rather than a single universal winner?</x:v>
      </x:c>
      <x:c r="K20" s="34" t="str">
        <x:v>A good answer should synthesise that RAG improves grounding, llama.cpp enables local deployment and quantisation, NIST frames broader risk/trustworthiness, and ICO shows remaining data protection duties. Therefore the best configuration depends on priorities such as quality, speed, memory, practicality, and privacy risk, rather than one universal winner.</x:v>
      </x:c>
      <x:c r="L20" s="34" t="str">
        <x:v>D1 RAG motivation; D2 local inference and quantisation; D3 trustworthiness/risk management; D4 data protection obligations</x:v>
      </x:c>
      <x:c r="M20" s="34" t="str">
        <x:v>The dissertation conclusion should be a conditional recommendation rather than a single universal winner because it allows for flexibility and adaptability. A conditional recommendation acknowledges that there may be various factors and circumstances that could influence the outcome, making it more realistic and practical. It also encourages readers to consider different scenarios and make informed decisions based on the specific context.</x:v>
      </x:c>
      <x:c r="N20" s="42" t="n">
        <x:v>3</x:v>
      </x:c>
      <x:c r="O20" s="42" t="n">
        <x:v>3</x:v>
      </x:c>
      <x:c r="P20" s="42" t="n">
        <x:v>2</x:v>
      </x:c>
      <x:c r="Q20" s="42" t="n">
        <x:v>1</x:v>
      </x:c>
      <x:c r="R20" s="42" t="n">
        <x:v>4</x:v>
      </x:c>
      <x:c r="S20" s="42" t="n">
        <x:v>2</x:v>
      </x:c>
      <x:c r="T20" s="50" t="n">
        <x:f>IF(COUNT(N20:S20)=6,AVERAGE(N20:S20),"")</x:f>
        <x:v>2.5</x:v>
      </x:c>
      <x:c r="U20" s="34" t="str">
        <x:v>AI draft note: Supports conditional recommendations in general terms but omits every required source-specific trade-off and priority.</x:v>
      </x:c>
      <x:c r="V20" s="52" t="str">
        <x:v>AI draft (Codex/GPT); human review required</x:v>
      </x:c>
      <x:c r="W20" s="54" t="str">
        <x:v>2026-06-29</x:v>
      </x:c>
      <x:c r="X20" s="58" t="str">
        <x:v>AI draft - needs human review</x:v>
      </x:c>
    </x:row>
    <x:row r="21" ht="84" customHeight="1">
      <x:c r="A21" s="34" t="str">
        <x:v>F3-Q031-R1</x:v>
      </x:c>
      <x:c r="B21" s="34" t="str">
        <x:v>F3</x:v>
      </x:c>
      <x:c r="C21" s="34" t="str">
        <x:v>Q031</x:v>
      </x:c>
      <x:c r="D21" s="34" t="str">
        <x:v>1</x:v>
      </x:c>
      <x:c r="E21" s="34" t="str">
        <x:v>D4</x:v>
      </x:c>
      <x:c r="F21" s="34" t="str">
        <x:v>ICO AI Data Protection Guidance</x:v>
      </x:c>
      <x:c r="G21" s="34" t="str">
        <x:v>explanation</x:v>
      </x:c>
      <x:c r="H21" s="34" t="str">
        <x:v>medium</x:v>
      </x:c>
      <x:c r="I21" s="34" t="str">
        <x:v>one_document</x:v>
      </x:c>
      <x:c r="J21" s="34" t="str">
        <x:v>Why are transparency and explainability important for AI systems that process personal data?</x:v>
      </x:c>
      <x:c r="K21" s="34" t="str">
        <x:v>A good answer should explain that people need clear information about how their personal data is processed, including purposes, retention, and sharing. Transparency helps comply with data protection obligations and supports explainability around AI use.</x:v>
      </x:c>
      <x:c r="L21" s="34" t="str">
        <x:v>D4 ICO transparency chapter</x:v>
      </x:c>
      <x:c r="M21" s="34" t="str">
        <x:v>Transparency and explainability are crucial for AI systems that process personal data for several reasons:
1. **Transparency**: Transparency ensures that individuals understand how their personal data is being used and processed. This transparency helps build trust and confidence in the AI system. It also allows individuals to make informed decisions about their data privacy.
2. **Explainability**: Explainability allows individuals to understand why their data is being processed and how it is being used. This transparency is essential for individuals to understand their rights and responsibilities. It also enables individuals to make informed decisions about their data privacy.
3. **Trust and Confidence**: Transparency and explainability increase trust and confidence in the AI system. When individuals understand how their data is being used, they are more likely to trust the system and make informed decisions about their data privacy.
4. **Actionable Redress**: Transparency and explainability enable individuals to make actionable redress related to AI system outputs. This allows individuals to take corrective actions if their data is being used inappropriately or if there are concerns about data privacy.
5. **Confidentiality**: Transparency and explainability also help maintain confidentiality by ensuring that individuals understand how their data is being used and processed. This helps prevent unauthorized access to their data and ensures that individuals can take necessary actions if their data is being used inappropriately.
6. **Privacy**: Transparency and explainability help maintain privacy by ensuring that individuals understand how their data is being used and processed. This helps prevent unauthorized access to their data and ensures that individuals can take necessary actions if their data is being used inappropriately.
In summary, transparency and explainability are essential for AI systems that process personal data because they help individuals understand how their data is being used, increase trust and confidence, enable actionable redress, maintain confidentiality, and ensure privacy.</x:v>
      </x:c>
      <x:c r="N21" s="42" t="n">
        <x:v>4</x:v>
      </x:c>
      <x:c r="O21" s="42" t="n">
        <x:v>3</x:v>
      </x:c>
      <x:c r="P21" s="42" t="n">
        <x:v>3</x:v>
      </x:c>
      <x:c r="Q21" s="42" t="n">
        <x:v>3</x:v>
      </x:c>
      <x:c r="R21" s="42" t="n">
        <x:v>3</x:v>
      </x:c>
      <x:c r="S21" s="42" t="n">
        <x:v>3</x:v>
      </x:c>
      <x:c r="T21" s="50" t="n">
        <x:f>IF(COUNT(N21:S21)=6,AVERAGE(N21:S21),"")</x:f>
        <x:v>3.1666666666666665</x:v>
      </x:c>
      <x:c r="U21" s="34" t="str">
        <x:v>AI draft note: Explains trust, understanding, and redress, but misses purposes, retention, sharing, and specific transparency obligations.</x:v>
      </x:c>
      <x:c r="V21" s="52" t="str">
        <x:v>AI draft (Codex/GPT); human review required</x:v>
      </x:c>
      <x:c r="W21" s="54" t="str">
        <x:v>2026-06-29</x:v>
      </x:c>
      <x:c r="X21" s="58" t="str">
        <x:v>AI draft - needs human review</x:v>
      </x:c>
    </x:row>
    <x:row r="22" ht="84" customHeight="1">
      <x:c r="A22" s="34" t="str">
        <x:v>M4-Q032-R1</x:v>
      </x:c>
      <x:c r="B22" s="34" t="str">
        <x:v>M4</x:v>
      </x:c>
      <x:c r="C22" s="34" t="str">
        <x:v>Q032</x:v>
      </x:c>
      <x:c r="D22" s="34" t="str">
        <x:v>1</x:v>
      </x:c>
      <x:c r="E22" s="34" t="str">
        <x:v>D4</x:v>
      </x:c>
      <x:c r="F22" s="34" t="str">
        <x:v>ICO AI Data Protection Guidance</x:v>
      </x:c>
      <x:c r="G22" s="34" t="str">
        <x:v>explanation</x:v>
      </x:c>
      <x:c r="H22" s="34" t="str">
        <x:v>medium</x:v>
      </x:c>
      <x:c r="I22" s="34" t="str">
        <x:v>one_document</x:v>
      </x:c>
      <x:c r="J22" s="34" t="str">
        <x:v>What does lawfulness mean in the context of AI and data protection?</x:v>
      </x:c>
      <x:c r="K22" s="34" t="str">
        <x:v>A good answer should say that every distinct personal-data processing operation in AI development or deployment needs a clear purpose and an appropriate lawful basis. Training and applying a model may involve different lawful bases.</x:v>
      </x:c>
      <x:c r="L22" s="34" t="str">
        <x:v>D4 ICO lawfulness chapter</x:v>
      </x:c>
      <x:c r="M22" s="34" t="str">
        <x:v>In the context of AI and data protection, lawfulness refers to the requirement that any processing of personal data by an AI system must be based on a lawful basis. This means that the processing must be done in a way that is allowed by law, such as being necessary for the performance of a task carried out for the public interest or essential for the performance of a contract. The ICO provides guidance on how to ensure lawfulness in AI, including considering an alternative lawful basis if the use of an AI system is integral to the service.</x:v>
      </x:c>
      <x:c r="N22" s="42" t="n">
        <x:v>4</x:v>
      </x:c>
      <x:c r="O22" s="42" t="n">
        <x:v>4</x:v>
      </x:c>
      <x:c r="P22" s="42" t="n">
        <x:v>4</x:v>
      </x:c>
      <x:c r="Q22" s="42" t="n">
        <x:v>3</x:v>
      </x:c>
      <x:c r="R22" s="42" t="n">
        <x:v>4</x:v>
      </x:c>
      <x:c r="S22" s="42" t="n">
        <x:v>4</x:v>
      </x:c>
      <x:c r="T22" s="50" t="n">
        <x:f>IF(COUNT(N22:S22)=6,AVERAGE(N22:S22),"")</x:f>
        <x:v>3.8333333333333335</x:v>
      </x:c>
      <x:c r="U22" s="34" t="str">
        <x:v>AI draft note: Correctly explains lawful basis and gives examples, but does not distinguish separate processing operations or training from deployment.</x:v>
      </x:c>
      <x:c r="V22" s="52" t="str">
        <x:v>AI draft (Codex/GPT); human review required</x:v>
      </x:c>
      <x:c r="W22" s="54" t="str">
        <x:v>2026-06-29</x:v>
      </x:c>
      <x:c r="X22" s="58" t="str">
        <x:v>AI draft - needs human review</x:v>
      </x:c>
    </x:row>
    <x:row r="23" ht="84" customHeight="1">
      <x:c r="A23" s="34" t="str">
        <x:v>T2-Q017-R1</x:v>
      </x:c>
      <x:c r="B23" s="34" t="str">
        <x:v>T2</x:v>
      </x:c>
      <x:c r="C23" s="34" t="str">
        <x:v>Q017</x:v>
      </x:c>
      <x:c r="D23" s="34" t="str">
        <x:v>1</x:v>
      </x:c>
      <x:c r="E23" s="34" t="str">
        <x:v>D2</x:v>
      </x:c>
      <x:c r="F23" s="34" t="str">
        <x:v>llama.cpp README</x:v>
      </x:c>
      <x:c r="G23" s="34" t="str">
        <x:v>fact_retrieval</x:v>
      </x:c>
      <x:c r="H23" s="34" t="str">
        <x:v>medium</x:v>
      </x:c>
      <x:c r="I23" s="34" t="str">
        <x:v>one_document</x:v>
      </x:c>
      <x:c r="J23" s="34" t="str">
        <x:v>What hardware or backend options are described as relevant to llama.cpp deployment?</x:v>
      </x:c>
      <x:c r="K23" s="34" t="str">
        <x:v>A good answer should mention at least several of the supported hardware/backend options such as x86 CPU instruction sets, Apple silicon, CUDA, HIP, Vulkan, SYCL, and CPU+GPU hybrid inference.</x:v>
      </x:c>
      <x:c r="L23" s="34" t="str">
        <x:v>D2 README Description hardware/backend bullets</x:v>
      </x:c>
      <x:c r="M23" s="34" t="str">
        <x:v>Based on the context, the following hardware or backend options are described as relevant to llama.cpp deployment:
1. **GPU**: Llama.cpp is a GPU-accelerated language model inference system, which means it requires a powerful GPU to run efficiently.
2. **VirtGPU**: VirtGPU is a virtual GPU API that allows for GPU acceleration on Linux systems, making it a relevant option for deploying Llama.cpp.
3. **WebGPU**: WebGPU is a web GPU API that enables GPU acceleration on web browsers, making it another relevant option for deploying Llama.cpp.
Additionally, the following hardware or backend options are mentioned as relevant to llama.cpp deployment:
1. **IBM zDNN**: IBM zDNN is a deep learning framework that provides a GPU-accelerated interface, making it a relevant option for deploying Llama.cpp.
2. **IBM Z &amp; LinuxONE**: IBM Z and LinuxONE are high-performance computing platforms that support GPU acceleration, making them relevant options for deploying Llama.cpp.
It's worth noting that the following options are not mentioned as relevant to llama.cpp deployment:
1. **Adreno GPU**: Adreno is a GPU-accelerated graphics processing unit (GPU) manufacturer, but it's not directly related to Llama.cpp deployment.
2. **All**: This option is too vague and doesn't provide any specific information about relevant hardware or backend options.
3. **Hexagon**: Hexagon is a GPU manufacturer, but it's not directly related to Llama.cpp deployment.
4. **CANN**: CANN is not a well-known GPU manufacturer, and it's not directly related to Llama.cpp deployment.
5. **OpenCL**: OpenCL is a programming model for parallel computing on heterogeneous hardware, but it's not directly related to Llama.cpp deployment.
6. **RPC**: RPC (Remote Procedure Call) is a communication protocol, but it's not directly related to Llama.cpp deployment.
7. **Llama-cli**: Llama-cli is a command-line interface for interacting with Llama.cpp, but it's not a hardware or backend option itself.
Please note that the context may not be exhaustive, and additional information may be required to provide a more comprehensive answer.</x:v>
      </x:c>
      <x:c r="N23" s="42" t="n">
        <x:v>3</x:v>
      </x:c>
      <x:c r="O23" s="42" t="n">
        <x:v>1</x:v>
      </x:c>
      <x:c r="P23" s="42" t="n">
        <x:v>1</x:v>
      </x:c>
      <x:c r="Q23" s="42" t="n">
        <x:v>2</x:v>
      </x:c>
      <x:c r="R23" s="42" t="n">
        <x:v>1</x:v>
      </x:c>
      <x:c r="S23" s="42" t="n">
        <x:v>1</x:v>
      </x:c>
      <x:c r="T23" s="50" t="n">
        <x:f>IF(COUNT(N23:S23)=6,AVERAGE(N23:S23),"")</x:f>
        <x:v>1.5</x:v>
      </x:c>
      <x:c r="U23" s="34" t="str">
        <x:v>AI draft note: Lists mostly incorrect or fabricated backends and omits the principal supported CPU, CUDA, HIP, Vulkan, SYCL, Apple, and hybrid options.</x:v>
      </x:c>
      <x:c r="V23" s="52" t="str">
        <x:v>AI draft (Codex/GPT); human review required</x:v>
      </x:c>
      <x:c r="W23" s="54" t="str">
        <x:v>2026-06-29</x:v>
      </x:c>
      <x:c r="X23" s="58" t="str">
        <x:v>AI draft - needs human review</x:v>
      </x:c>
    </x:row>
    <x:row r="24" ht="84" customHeight="1">
      <x:c r="A24" s="34" t="str">
        <x:v>R9-Q004-R1</x:v>
      </x:c>
      <x:c r="B24" s="34" t="str">
        <x:v>R9</x:v>
      </x:c>
      <x:c r="C24" s="34" t="str">
        <x:v>Q004</x:v>
      </x:c>
      <x:c r="D24" s="34" t="str">
        <x:v>1</x:v>
      </x:c>
      <x:c r="E24" s="34" t="str">
        <x:v>D1</x:v>
      </x:c>
      <x:c r="F24" s="34" t="str">
        <x:v>RAG Paper</x:v>
      </x:c>
      <x:c r="G24" s="34" t="str">
        <x:v>fact_retrieval</x:v>
      </x:c>
      <x:c r="H24" s="34" t="str">
        <x:v>easy</x:v>
      </x:c>
      <x:c r="I24" s="34" t="str">
        <x:v>one_document</x:v>
      </x:c>
      <x:c r="J24" s="34" t="str">
        <x:v>What is the role of the retriever in a RAG pipeline?</x:v>
      </x:c>
      <x:c r="K24" s="34" t="str">
        <x:v>A good answer should say that the retriever takes the input query, searches a document index, and returns top relevant text passages. These passages become context for the generator.</x:v>
      </x:c>
      <x:c r="L24" s="34" t="str">
        <x:v>D1 Methods section 2; D1 Retriever section 2.2</x:v>
      </x:c>
      <x:c r="M24" s="34" t="str">
        <x:v>The retriever in a RAG pipeline plays a crucial role in selecting relevant information for the task. It helps in identifying and retrieving the most pertinent data that is essential for generating the desired output. By using retrieval supervision on datasets like Natural Questions and TriviaQA, the retriever enhances the accuracy and relevance of the information provided to the RAG. This process allows the RAG to focus on the most relevant content, thereby improving its performance and effectiveness in tasks such as QA.</x:v>
      </x:c>
      <x:c r="N24" s="42" t="n">
        <x:v>4</x:v>
      </x:c>
      <x:c r="O24" s="42" t="n">
        <x:v>3</x:v>
      </x:c>
      <x:c r="P24" s="42" t="n">
        <x:v>3</x:v>
      </x:c>
      <x:c r="Q24" s="42" t="n">
        <x:v>3</x:v>
      </x:c>
      <x:c r="R24" s="42" t="n">
        <x:v>4</x:v>
      </x:c>
      <x:c r="S24" s="42" t="n">
        <x:v>3</x:v>
      </x:c>
      <x:c r="T24" s="50" t="n">
        <x:f>IF(COUNT(N24:S24)=6,AVERAGE(N24:S24),"")</x:f>
        <x:v>3.3333333333333335</x:v>
      </x:c>
      <x:c r="U24" s="34" t="str">
        <x:v>AI draft note: Correctly describes selecting relevant information, but does not clearly state query-index search, top passages, and generator context.</x:v>
      </x:c>
      <x:c r="V24" s="52" t="str">
        <x:v>AI draft (Codex/GPT); human review required</x:v>
      </x:c>
      <x:c r="W24" s="54" t="str">
        <x:v>2026-06-29</x:v>
      </x:c>
      <x:c r="X24" s="58" t="str">
        <x:v>AI draft - needs human review</x:v>
      </x:c>
    </x:row>
    <x:row r="25" ht="84" customHeight="1">
      <x:c r="A25" s="34" t="str">
        <x:v>A7-Q033-R1</x:v>
      </x:c>
      <x:c r="B25" s="34" t="str">
        <x:v>A7</x:v>
      </x:c>
      <x:c r="C25" s="34" t="str">
        <x:v>Q033</x:v>
      </x:c>
      <x:c r="D25" s="34" t="str">
        <x:v>1</x:v>
      </x:c>
      <x:c r="E25" s="34" t="str">
        <x:v>D4</x:v>
      </x:c>
      <x:c r="F25" s="34" t="str">
        <x:v>ICO AI Data Protection Guidance</x:v>
      </x:c>
      <x:c r="G25" s="34" t="str">
        <x:v>explanation</x:v>
      </x:c>
      <x:c r="H25" s="34" t="str">
        <x:v>medium</x:v>
      </x:c>
      <x:c r="I25" s="34" t="str">
        <x:v>one_document</x:v>
      </x:c>
      <x:c r="J25" s="34" t="str">
        <x:v>Why are accuracy and statistical accuracy relevant to AI outputs?</x:v>
      </x:c>
      <x:c r="K25" s="34" t="str">
        <x:v>A good answer should distinguish data-protection accuracy, meaning personal data is accurate and up to date, from statistical accuracy, meaning how often an AI system gives correct answers against test data. Both matter because inaccurate outputs can affect fairness and personal-data processing.</x:v>
      </x:c>
      <x:c r="L25" s="34" t="str">
        <x:v>D4 ICO accuracy and statistical accuracy chapter</x:v>
      </x:c>
      <x:c r="M25" s="34" t="str">
        <x:v>Okay, here’s a rephrased and expanded answer based on the provided context, aiming for clarity and completeness:
“Accuracy and statistical accuracy are crucial when handling personal data because they directly relate to ensuring compliance with fairness principles. The fairness principle dictates that personal data shouldn’t be used in ways that could have unjustified adverse effects on individuals.  Currently, the data protection principle applies to *all* personal data – whether it’s information used as input to an AI system or the output of the system. However, this doesn’t mean an AI system *needs* to be a specific type of AI or an output of a particular system.  Instead, it means that the AI system’s outputs shouldn’t be treated as definitive facts about individuals, but rather as statistically informed guesses about what might be true about them.  To avoid misinterpretations and ensure compliance, the AI system needs to be sufficiently accurate to process personal data lawfully and fairly.  While accuracy is important, it’s not the *only* measure to consider.  We need to break down accuracy into different components and prioritize those that are most relevant for compliance.”
---
**Key additions and clarifications:**
*   **Emphasis on Compliance:** The answer highlights the core reason – compliance with fairness principles.
*   **Clarification of the Scope:** It explicitly states that the data protection principle applies to *all* personal data, not just outputs.
*   **Moving Beyond Accuracy:** It expands on the idea that accuracy isn’t just about being “right” but about being *appropriate* for the context.
*   **Acknowledging the Importance of Other Measures:** It recognizes that while accuracy is important, it’s not the *only* factor to consider.
Do you want me to elaborate on any specific aspect of this answer, or perhaps provide more context around the topic?</x:v>
      </x:c>
      <x:c r="N25" s="42" t="n">
        <x:v>4</x:v>
      </x:c>
      <x:c r="O25" s="42" t="n">
        <x:v>3</x:v>
      </x:c>
      <x:c r="P25" s="42" t="n">
        <x:v>3</x:v>
      </x:c>
      <x:c r="Q25" s="42" t="n">
        <x:v>3</x:v>
      </x:c>
      <x:c r="R25" s="42" t="n">
        <x:v>3</x:v>
      </x:c>
      <x:c r="S25" s="42" t="n">
        <x:v>3</x:v>
      </x:c>
      <x:c r="T25" s="50" t="n">
        <x:f>IF(COUNT(N25:S25)=6,AVERAGE(N25:S25),"")</x:f>
        <x:v>3.1666666666666665</x:v>
      </x:c>
      <x:c r="U25" s="34" t="str">
        <x:v>AI draft note: Relevant fairness discussion and useful caution about predictions, but fails to clearly distinguish the two meanings of accuracy.</x:v>
      </x:c>
      <x:c r="V25" s="52" t="str">
        <x:v>AI draft (Codex/GPT); human review required</x:v>
      </x:c>
      <x:c r="W25" s="54" t="str">
        <x:v>2026-06-29</x:v>
      </x:c>
      <x:c r="X25" s="58" t="str">
        <x:v>AI draft - needs human review</x:v>
      </x:c>
    </x:row>
    <x:row r="26" ht="84" customHeight="1">
      <x:c r="A26" s="34" t="str">
        <x:v>F3-Q005-R1</x:v>
      </x:c>
      <x:c r="B26" s="34" t="str">
        <x:v>F3</x:v>
      </x:c>
      <x:c r="C26" s="34" t="str">
        <x:v>Q005</x:v>
      </x:c>
      <x:c r="D26" s="34" t="str">
        <x:v>1</x:v>
      </x:c>
      <x:c r="E26" s="34" t="str">
        <x:v>D1</x:v>
      </x:c>
      <x:c r="F26" s="34" t="str">
        <x:v>RAG Paper</x:v>
      </x:c>
      <x:c r="G26" s="34" t="str">
        <x:v>explanation</x:v>
      </x:c>
      <x:c r="H26" s="34" t="str">
        <x:v>medium</x:v>
      </x:c>
      <x:c r="I26" s="34" t="str">
        <x:v>one_document</x:v>
      </x:c>
      <x:c r="J26" s="34" t="str">
        <x:v>How can retrieval help a model access knowledge that is not stored in its parameters?</x:v>
      </x:c>
      <x:c r="K26" s="34" t="str">
        <x:v>A good answer should explain that retrieval lets the system look up information from an external index at inference time instead of relying only on memorised model parameters. The external index can also be replaced or updated more easily than model weights.</x:v>
      </x:c>
      <x:c r="L26" s="34" t="str">
        <x:v>D1 Introduction; D1 final paragraph of Introduction</x:v>
      </x:c>
      <x:c r="M26" s="34" t="str">
        <x:v>Retrieval can enable a model to access knowledge that is not stored in its parameters by leveraging the input sequences to retrieve text documents (z) and using them as additional context when generating the target sequence (y). This approach allows the model to update its knowledge as the world changes, making it a valuable tool for natural language processing tasks.</x:v>
      </x:c>
      <x:c r="N26" s="42" t="n">
        <x:v>4</x:v>
      </x:c>
      <x:c r="O26" s="42" t="n">
        <x:v>4</x:v>
      </x:c>
      <x:c r="P26" s="42" t="n">
        <x:v>4</x:v>
      </x:c>
      <x:c r="Q26" s="42" t="n">
        <x:v>3</x:v>
      </x:c>
      <x:c r="R26" s="42" t="n">
        <x:v>4</x:v>
      </x:c>
      <x:c r="S26" s="42" t="n">
        <x:v>4</x:v>
      </x:c>
      <x:c r="T26" s="50" t="n">
        <x:f>IF(COUNT(N26:S26)=6,AVERAGE(N26:S26),"")</x:f>
        <x:v>3.8333333333333335</x:v>
      </x:c>
      <x:c r="U26" s="34" t="str">
        <x:v>AI draft note: Correctly explains retrieval of external passages as generation context, but does not clearly explain easier index replacement or updating.</x:v>
      </x:c>
      <x:c r="V26" s="52" t="str">
        <x:v>AI draft (Codex/GPT); human review required</x:v>
      </x:c>
      <x:c r="W26" s="54" t="str">
        <x:v>2026-06-29</x:v>
      </x:c>
      <x:c r="X26" s="58" t="str">
        <x:v>AI draft - needs human review</x:v>
      </x:c>
    </x:row>
    <x:row r="27" ht="84" customHeight="1">
      <x:c r="A27" s="34" t="str">
        <x:v>T2-Q038-R1</x:v>
      </x:c>
      <x:c r="B27" s="34" t="str">
        <x:v>T2</x:v>
      </x:c>
      <x:c r="C27" s="34" t="str">
        <x:v>Q038</x:v>
      </x:c>
      <x:c r="D27" s="34" t="str">
        <x:v>1</x:v>
      </x:c>
      <x:c r="E27" s="34" t="str">
        <x:v>D1+D2</x:v>
      </x:c>
      <x:c r="F27" s="34" t="str">
        <x:v>RAG Paper and llama.cpp README</x:v>
      </x:c>
      <x:c r="G27" s="34" t="str">
        <x:v>comparison</x:v>
      </x:c>
      <x:c r="H27" s="34" t="str">
        <x:v>hard</x:v>
      </x:c>
      <x:c r="I27" s="34" t="str">
        <x:v>multiple_documents</x:v>
      </x:c>
      <x:c r="J27" s="34" t="str">
        <x:v>How do RAG and local deployment address different parts of the question-answering problem?</x:v>
      </x:c>
      <x:c r="K27" s="34" t="str">
        <x:v>A good answer should say that RAG addresses knowledge grounding by retrieving and using source passages, while local deployment addresses where inference runs and what hardware/runtime is used. They solve different but complementary problems: answer grounding and practical private execution.</x:v>
      </x:c>
      <x:c r="L27" s="34" t="str">
        <x:v>D1 abstract/Methods; D2 README Description/llama-server</x:v>
      </x:c>
      <x:c r="M27" s="34" t="str">
        <x:v>Here's a rephrased version of the text in my own words, combining relevant parts, and addressing any gaps in the context:
RAG (Read-Answer-Generate) is a novel approach to question answering that has achieved impressive results in various tasks, including extractive question answering (QA) and abstractive question answering (QA). In this context, RAG stands out for its ability to generate correct answers even when the correct answer is not present in any retrieved document, achieving an impressive 11.8% accuracy in such cases.
RAG's performance is particularly impressive given that many models, including state-of-the-art extractive QA models, have a lower accuracy of 0% when faced with unseen documents. This is because RAG can leverage the information from the retrieved documents to generate correct answers.
In terms of experimental details, RAG was tested on various real-world applications, including open-domain question answering (QA), which involves treating questions and answers as input-output text pairs (x, y) and training RAG by directly minimizing the negative log-likelihood of answers. The model was compared to the popular extractive QA paradigm, where answers are generated based on the information from retrieved documents.
The RAG model was also evaluated on specific tasks, such as Open MS-MARCO NLG, which involves generating answers based on a set of gold passages with specific information. In this case, RAG outperformed the BART model by 2.6 BLEU points and 2.6 ROUGE-L points.
RAG's performance was also compared to other models, including DPR, which is a popular extractive QA model. The RAG model was also evaluated on the TQA Wiki test set, which involves generating answers based on a set of trivia questions.
In summary, RAG is a novel approach to question answering that has achieved impressive results in various tasks, including extractive QA and abstractive QA. Its ability to generate correct answers even when the correct answer is not present in any retrieved document makes it particularly effective in real-world applications.
Key points:
* RAG has achieved impressive results in various tasks, including extractive QA and abstractive QA.
* RAG can generate correct answers even when the correct answer is not present in any retrieved document.
* RAG has outperformed other models, including BART and DPR.
* RAG has been evaluated on specific tasks, such as Open MS-MARCO NLG and TQA Wiki test set.
* RAG's performance has been</x:v>
      </x:c>
      <x:c r="N27" s="42" t="n">
        <x:v>2</x:v>
      </x:c>
      <x:c r="O27" s="42" t="n">
        <x:v>2</x:v>
      </x:c>
      <x:c r="P27" s="42" t="n">
        <x:v>3</x:v>
      </x:c>
      <x:c r="Q27" s="42" t="n">
        <x:v>1</x:v>
      </x:c>
      <x:c r="R27" s="42" t="n">
        <x:v>3</x:v>
      </x:c>
      <x:c r="S27" s="42" t="n">
        <x:v>3</x:v>
      </x:c>
      <x:c r="T27" s="50" t="n">
        <x:f>IF(COUNT(N27:S27)=6,AVERAGE(N27:S27),"")</x:f>
        <x:v>2.3333333333333335</x:v>
      </x:c>
      <x:c r="U27" s="34" t="str">
        <x:v>AI draft note: Provides a long RAG performance summary but never addresses local execution or the complementary functions requested.</x:v>
      </x:c>
      <x:c r="V27" s="52" t="str">
        <x:v>AI draft (Codex/GPT); human review required</x:v>
      </x:c>
      <x:c r="W27" s="54" t="str">
        <x:v>2026-06-29</x:v>
      </x:c>
      <x:c r="X27" s="58" t="str">
        <x:v>AI draft - needs human review</x:v>
      </x:c>
    </x:row>
    <x:row r="28" ht="84" customHeight="1">
      <x:c r="A28" s="34" t="str">
        <x:v>K8-Q018-R1</x:v>
      </x:c>
      <x:c r="B28" s="34" t="str">
        <x:v>K8</x:v>
      </x:c>
      <x:c r="C28" s="34" t="str">
        <x:v>Q018</x:v>
      </x:c>
      <x:c r="D28" s="34" t="str">
        <x:v>1</x:v>
      </x:c>
      <x:c r="E28" s="34" t="str">
        <x:v>D2</x:v>
      </x:c>
      <x:c r="F28" s="34" t="str">
        <x:v>llama.cpp README</x:v>
      </x:c>
      <x:c r="G28" s="34" t="str">
        <x:v>explanation</x:v>
      </x:c>
      <x:c r="H28" s="34" t="str">
        <x:v>medium</x:v>
      </x:c>
      <x:c r="I28" s="34" t="str">
        <x:v>one_document</x:v>
      </x:c>
      <x:c r="J28" s="34" t="str">
        <x:v>What does local inference change about where model computation happens?</x:v>
      </x:c>
      <x:c r="K28" s="34" t="str">
        <x:v>A good answer should say that computation can happen on the user's own machine rather than a remote cloud provider, depending on setup. The answer should avoid overstating privacy because local computation still leaves local storage, logs, and device-security issues.</x:v>
      </x:c>
      <x:c r="L28" s="34" t="str">
        <x:v>D2 README Description; D4 ICO security/data minimisation for limitation context</x:v>
      </x:c>
      <x:c r="M28" s="34" t="str">
        <x:v>The local inference attack mentioned in the context refers to an inference made locally on the device from which the query is generated, rather than being hosted on a cloud server. For example, an ML model could be installed on the user's own device and make inferences locally, rather than being hosted on a cloud server. The training data for the local model could be the same as the earlier example, where the data was collected during the period it was used. Similar to the earlier example, membership inference attacks can exploit confidence scores provided alongside a model's prediction. If an individual was in the training data, then the model will be disproportionately confident in a prediction about that person because it has seen them before. This allows the attacker to infer that the person was in the training data. The gravity of the consequences of a model being vulnerable to membership inference depends on how sensitive or revealing membership might be. If a model is trained on a large number of people drawn from the general population, then membership inference attacks pose less risk. But if the model is trained on a vulnerable or sensitive population (e.g., patients with dementia, or HIV), then merely revealing that someone is part of that population may be a serious privacy risk.</x:v>
      </x:c>
      <x:c r="N28" s="42" t="n">
        <x:v>3</x:v>
      </x:c>
      <x:c r="O28" s="42" t="n">
        <x:v>3</x:v>
      </x:c>
      <x:c r="P28" s="42" t="n">
        <x:v>3</x:v>
      </x:c>
      <x:c r="Q28" s="42" t="n">
        <x:v>2</x:v>
      </x:c>
      <x:c r="R28" s="42" t="n">
        <x:v>3</x:v>
      </x:c>
      <x:c r="S28" s="42" t="n">
        <x:v>3</x:v>
      </x:c>
      <x:c r="T28" s="50" t="n">
        <x:f>IF(COUNT(N28:S28)=6,AVERAGE(N28:S28),"")</x:f>
        <x:v>2.8333333333333335</x:v>
      </x:c>
      <x:c r="U28" s="34" t="str">
        <x:v>AI draft note: Correctly contrasts local and cloud inference, but digresses into membership inference and omits local storage, logging, and device-security caveats.</x:v>
      </x:c>
      <x:c r="V28" s="52" t="str">
        <x:v>AI draft (Codex/GPT); human review required</x:v>
      </x:c>
      <x:c r="W28" s="54" t="str">
        <x:v>2026-06-29</x:v>
      </x:c>
      <x:c r="X28" s="58" t="str">
        <x:v>AI draft - needs human review</x:v>
      </x:c>
    </x:row>
    <x:row r="29" ht="84" customHeight="1">
      <x:c r="A29" s="34" t="str">
        <x:v>R9-Q028-R1</x:v>
      </x:c>
      <x:c r="B29" s="34" t="str">
        <x:v>R9</x:v>
      </x:c>
      <x:c r="C29" s="34" t="str">
        <x:v>Q028</x:v>
      </x:c>
      <x:c r="D29" s="34" t="str">
        <x:v>1</x:v>
      </x:c>
      <x:c r="E29" s="34" t="str">
        <x:v>D3</x:v>
      </x:c>
      <x:c r="F29" s="34" t="str">
        <x:v>NIST AI RMF</x:v>
      </x:c>
      <x:c r="G29" s="34" t="str">
        <x:v>explanation</x:v>
      </x:c>
      <x:c r="H29" s="34" t="str">
        <x:v>medium</x:v>
      </x:c>
      <x:c r="I29" s="34" t="str">
        <x:v>one_document</x:v>
      </x:c>
      <x:c r="J29" s="34" t="str">
        <x:v>How does risk management help frame deployment practicality?</x:v>
      </x:c>
      <x:c r="K29" s="34" t="str">
        <x:v>A good answer should say that deployment practicality includes managing risks, context, operational controls, monitoring, governance, and acceptable trade-offs. A model that runs is not automatically suitable unless its risks and constraints are manageable.</x:v>
      </x:c>
      <x:c r="L29" s="34" t="str">
        <x:v>D3 AI RMF Executive Summary; D3 Core functions Govern Map Measure Manage</x:v>
      </x:c>
      <x:c r="M29" s="34" t="str">
        <x:v>Risk management helps frame deployment practicality by ensuring that AI systems are developed and deployed in a way that minimizes potential negative impacts while maximizing positive ones. By addressing, documenting, and managing AI risks and potential negative impacts effectively, organizations can create more trustworthy AI systems. This involves assessing the trustworthiness of each AI system, prioritizing resources based on risk level and impact, and allocating resources accordingly. Additionally, it is important to continuously monitor and adapt to evolving methods, contexts, risks, and needs or expectations from relevant AI actors. This ongoing process helps ensure that AI systems remain practical and effective as they evolve over time.</x:v>
      </x:c>
      <x:c r="N29" s="42" t="n">
        <x:v>4</x:v>
      </x:c>
      <x:c r="O29" s="42" t="n">
        <x:v>4</x:v>
      </x:c>
      <x:c r="P29" s="42" t="n">
        <x:v>4</x:v>
      </x:c>
      <x:c r="Q29" s="42" t="n">
        <x:v>3</x:v>
      </x:c>
      <x:c r="R29" s="42" t="n">
        <x:v>5</x:v>
      </x:c>
      <x:c r="S29" s="42" t="n">
        <x:v>4</x:v>
      </x:c>
      <x:c r="T29" s="50" t="n">
        <x:f>IF(COUNT(N29:S29)=6,AVERAGE(N29:S29),"")</x:f>
        <x:v>4</x:v>
      </x:c>
      <x:c r="U29" s="34" t="str">
        <x:v>AI draft note: Strongly connects risk assessment, resource prioritisation, monitoring, and changing context to practicality; governance and acceptable trade-offs could be more explicit.</x:v>
      </x:c>
      <x:c r="V29" s="52" t="str">
        <x:v>AI draft (Codex/GPT); human review required</x:v>
      </x:c>
      <x:c r="W29" s="54" t="str">
        <x:v>2026-06-29</x:v>
      </x:c>
      <x:c r="X29" s="58" t="str">
        <x:v>AI draft - needs human review</x:v>
      </x:c>
    </x:row>
    <x:row r="30" ht="84" customHeight="1">
      <x:c r="A30" s="34" t="str">
        <x:v>R9-Q036-R1</x:v>
      </x:c>
      <x:c r="B30" s="34" t="str">
        <x:v>R9</x:v>
      </x:c>
      <x:c r="C30" s="34" t="str">
        <x:v>Q036</x:v>
      </x:c>
      <x:c r="D30" s="34" t="str">
        <x:v>1</x:v>
      </x:c>
      <x:c r="E30" s="34" t="str">
        <x:v>D4</x:v>
      </x:c>
      <x:c r="F30" s="34" t="str">
        <x:v>ICO AI Data Protection Guidance</x:v>
      </x:c>
      <x:c r="G30" s="34" t="str">
        <x:v>source_grounded_synthesis</x:v>
      </x:c>
      <x:c r="H30" s="34" t="str">
        <x:v>hard</x:v>
      </x:c>
      <x:c r="I30" s="34" t="str">
        <x:v>one_document</x:v>
      </x:c>
      <x:c r="J30" s="34" t="str">
        <x:v>How can local deployment reduce some privacy risks while leaving other data protection responsibilities in place?</x:v>
      </x:c>
      <x:c r="K30" s="34" t="str">
        <x:v>A good answer should say local deployment can reduce transfer of questions or documents to external providers, but responsibilities remain for lawful processing, transparency, security, data minimisation, logging, retention, and access control on the local system.</x:v>
      </x:c>
      <x:c r="L30" s="34" t="str">
        <x:v>D4 ICO transparency; lawfulness; security and data minimisation chapters</x:v>
      </x:c>
      <x:c r="M30" s="34" t="str">
        <x:v>Local deployment can reduce some privacy risks while leaving other data protection responsibilities in place by minimizing the data that is revealed in queries sent to ML models. This approach allows one party to retrieve predictions or classifications without fully revealing all the information to the party running the model. Essentially, it enables a party to get an answer without having to fully reveal the question. This method is particularly useful when it is not feasible to deploy the model locally. Local deployment can help in protecting personal data used to train the model by reducing the amount of data that is exposed during the query process. This can be achieved through privacy-preserving query approaches, which allow for secure data sharing and minimize the risk of exposing personal data. However, it's important to note that local deployment may not fully address all privacy risks and data protection responsibilities. Therefore, it's crucial to collaborate with clients to understand the particular deployment contexts and associated threat models. As part of your procurement policy, there should be sufficient information sharing between each party to perform their respective responsibilities effectively.</x:v>
      </x:c>
      <x:c r="N30" s="42" t="n">
        <x:v>3</x:v>
      </x:c>
      <x:c r="O30" s="42" t="n">
        <x:v>2</x:v>
      </x:c>
      <x:c r="P30" s="42" t="n">
        <x:v>2</x:v>
      </x:c>
      <x:c r="Q30" s="42" t="n">
        <x:v>2</x:v>
      </x:c>
      <x:c r="R30" s="42" t="n">
        <x:v>2</x:v>
      </x:c>
      <x:c r="S30" s="42" t="n">
        <x:v>2</x:v>
      </x:c>
      <x:c r="T30" s="50" t="n">
        <x:f>IF(COUNT(N30:S30)=6,AVERAGE(N30:S30),"")</x:f>
        <x:v>2.1666666666666665</x:v>
      </x:c>
      <x:c r="U30" s="34" t="str">
        <x:v>AI draft note: Recognises reduced query disclosure but conflates local deployment with privacy-preserving remote querying and omits most continuing duties.</x:v>
      </x:c>
      <x:c r="V30" s="52" t="str">
        <x:v>AI draft (Codex/GPT); human review required</x:v>
      </x:c>
      <x:c r="W30" s="54" t="str">
        <x:v>2026-06-29</x:v>
      </x:c>
      <x:c r="X30" s="58" t="str">
        <x:v>AI draft - needs human review</x:v>
      </x:c>
    </x:row>
    <x:row r="31" ht="84" customHeight="1">
      <x:c r="A31" s="34" t="str">
        <x:v>A7-Q012-R1</x:v>
      </x:c>
      <x:c r="B31" s="34" t="str">
        <x:v>A7</x:v>
      </x:c>
      <x:c r="C31" s="34" t="str">
        <x:v>Q012</x:v>
      </x:c>
      <x:c r="D31" s="34" t="str">
        <x:v>1</x:v>
      </x:c>
      <x:c r="E31" s="34" t="str">
        <x:v>D2</x:v>
      </x:c>
      <x:c r="F31" s="34" t="str">
        <x:v>llama.cpp README</x:v>
      </x:c>
      <x:c r="G31" s="34" t="str">
        <x:v>explanation</x:v>
      </x:c>
      <x:c r="H31" s="34" t="str">
        <x:v>medium</x:v>
      </x:c>
      <x:c r="I31" s="34" t="str">
        <x:v>one_document</x:v>
      </x:c>
      <x:c r="J31" s="34" t="str">
        <x:v>Why is llama.cpp relevant for local or on-device language model deployment?</x:v>
      </x:c>
      <x:c r="K31" s="34" t="str">
        <x:v>A good answer should explain that llama.cpp runs models locally, supports many CPU/GPU backends, works with quantised GGUF models, and exposes tools such as llama-cli and llama-server. This makes it practical for a laptop-based local benchmark.</x:v>
      </x:c>
      <x:c r="L31" s="34" t="str">
        <x:v>D2 README Quick start; D2 Description; D2 hardware/backend bullets</x:v>
      </x:c>
      <x:c r="M31" s="34" t="str">
        <x:v>Okay, here's a rephrased and expanded answer to your question, drawing on the provided context and adding some general knowledge:
**llama.cpp is relevant for local or on-device language model deployment because it’s designed to enable LLM inference with minimal setup and excellent performance across a wide variety of tools.**  Essentially, it’s a project focused on making large language models (LLMs) easier to run, especially on devices with limited resources like smartphones or laptops.  The core goal is to provide a streamlined way to use these models without requiring complex infrastructure or extensive setup.
Here’s a breakdown of why this is important, based on the context:
*   **Minimal Setup:** The documentation highlights that llama.cpp aims to simplify the process of getting LLMs running.
*   **State-of-the-Art Performance:** It’s designed to deliver high-quality results, even on less powerful hardware.
*   **Wide Range of Tools:**  It’s intended to work with various tools and platforms, making it adaptable to different use cases.
*   **Future Development:** The context mentions ongoing efforts to improve packaging and support for models like GPT-oss, which further reinforces its importance in the LLM landscape.
**In short, it’s a key project because it makes it easier to deploy and use powerful language models without the overhead of a full server.**
---
**Note:** I’ve added a bit of general knowledge about the LLM ecosystem to provide a more complete picture.  If you had a specific question about the context that you'd like me to address, please let me know!</x:v>
      </x:c>
      <x:c r="N31" s="42" t="n">
        <x:v>4</x:v>
      </x:c>
      <x:c r="O31" s="42" t="n">
        <x:v>4</x:v>
      </x:c>
      <x:c r="P31" s="42" t="n">
        <x:v>4</x:v>
      </x:c>
      <x:c r="Q31" s="42" t="n">
        <x:v>3</x:v>
      </x:c>
      <x:c r="R31" s="42" t="n">
        <x:v>4</x:v>
      </x:c>
      <x:c r="S31" s="42" t="n">
        <x:v>4</x:v>
      </x:c>
      <x:c r="T31" s="50" t="n">
        <x:f>IF(COUNT(N31:S31)=6,AVERAGE(N31:S31),"")</x:f>
        <x:v>3.8333333333333335</x:v>
      </x:c>
      <x:c r="U31" s="34" t="str">
        <x:v>AI draft note: Correctly explains practical local inference and minimal setup, but omits quantised GGUF, backend breadth, llama-cli, and llama-server.</x:v>
      </x:c>
      <x:c r="V31" s="52" t="str">
        <x:v>AI draft (Codex/GPT); human review required</x:v>
      </x:c>
      <x:c r="W31" s="54" t="str">
        <x:v>2026-06-29</x:v>
      </x:c>
      <x:c r="X31" s="58" t="str">
        <x:v>AI draft - needs human review</x:v>
      </x:c>
    </x:row>
    <x:row r="32" ht="84" customHeight="1">
      <x:c r="A32" s="34" t="str">
        <x:v>M4-Q008-R1</x:v>
      </x:c>
      <x:c r="B32" s="34" t="str">
        <x:v>M4</x:v>
      </x:c>
      <x:c r="C32" s="34" t="str">
        <x:v>Q008</x:v>
      </x:c>
      <x:c r="D32" s="34" t="str">
        <x:v>1</x:v>
      </x:c>
      <x:c r="E32" s="34" t="str">
        <x:v>D1</x:v>
      </x:c>
      <x:c r="F32" s="34" t="str">
        <x:v>RAG Paper</x:v>
      </x:c>
      <x:c r="G32" s="34" t="str">
        <x:v>boundary_limitation</x:v>
      </x:c>
      <x:c r="H32" s="34" t="str">
        <x:v>medium</x:v>
      </x:c>
      <x:c r="I32" s="34" t="str">
        <x:v>one_document</x:v>
      </x:c>
      <x:c r="J32" s="34" t="str">
        <x:v>What limitation of large pre-trained models motivates the use of retrieval?</x:v>
      </x:c>
      <x:c r="K32" s="34" t="str">
        <x:v>A good answer should state that large pre-trained models can store knowledge but may struggle to access, manipulate, update, or explain it reliably. They may also hallucinate or fail to provide provenance.</x:v>
      </x:c>
      <x:c r="L32" s="34" t="str">
        <x:v>D1 abstract; D1 Introduction paragraphs 1-2</x:v>
      </x:c>
      <x:c r="M32" s="34" t="str">
        <x:v>The limitation of large pre-trained models is their inability to directly access and retrieve specific information from external sources due to their reliance on stored factual knowledge in their parameters. This limitation is addressed by the use of retrieval, which allows the model to learn to retrieve documents from external sources, thereby improving its performance on downstream NLP tasks.</x:v>
      </x:c>
      <x:c r="N32" s="42" t="n">
        <x:v>4</x:v>
      </x:c>
      <x:c r="O32" s="42" t="n">
        <x:v>3</x:v>
      </x:c>
      <x:c r="P32" s="42" t="n">
        <x:v>3</x:v>
      </x:c>
      <x:c r="Q32" s="42" t="n">
        <x:v>3</x:v>
      </x:c>
      <x:c r="R32" s="42" t="n">
        <x:v>4</x:v>
      </x:c>
      <x:c r="S32" s="42" t="n">
        <x:v>3</x:v>
      </x:c>
      <x:c r="T32" s="50" t="n">
        <x:f>IF(COUNT(N32:S32)=6,AVERAGE(N32:S32),"")</x:f>
        <x:v>3.3333333333333335</x:v>
      </x:c>
      <x:c r="U32" s="34" t="str">
        <x:v>AI draft note: Correctly identifies reliance on stored parameters and the value of external retrieval, but omits updating, manipulation, provenance, and hallucination limitations.</x:v>
      </x:c>
      <x:c r="V32" s="52" t="str">
        <x:v>AI draft (Codex/GPT); human review required</x:v>
      </x:c>
      <x:c r="W32" s="54" t="str">
        <x:v>2026-06-29</x:v>
      </x:c>
      <x:c r="X32" s="58" t="str">
        <x:v>AI draft - needs human review</x:v>
      </x:c>
    </x:row>
    <x:row r="33" ht="84" customHeight="1">
      <x:c r="A33" s="34" t="str">
        <x:v>F3-Q011-R1</x:v>
      </x:c>
      <x:c r="B33" s="34" t="str">
        <x:v>F3</x:v>
      </x:c>
      <x:c r="C33" s="34" t="str">
        <x:v>Q011</x:v>
      </x:c>
      <x:c r="D33" s="34" t="str">
        <x:v>1</x:v>
      </x:c>
      <x:c r="E33" s="34" t="str">
        <x:v>D2</x:v>
      </x:c>
      <x:c r="F33" s="34" t="str">
        <x:v>llama.cpp README</x:v>
      </x:c>
      <x:c r="G33" s="34" t="str">
        <x:v>fact_retrieval</x:v>
      </x:c>
      <x:c r="H33" s="34" t="str">
        <x:v>easy</x:v>
      </x:c>
      <x:c r="I33" s="34" t="str">
        <x:v>one_document</x:v>
      </x:c>
      <x:c r="J33" s="34" t="str">
        <x:v>What is the main purpose of llama.cpp?</x:v>
      </x:c>
      <x:c r="K33" s="34" t="str">
        <x:v>A good answer should state that llama.cpp enables LLM inference in C/C++ with minimal setup and strong performance across local and cloud hardware.</x:v>
      </x:c>
      <x:c r="L33" s="34" t="str">
        <x:v>D2 README title; D2 Description section</x:v>
      </x:c>
      <x:c r="M33" s="34" t="str">
        <x:v>The main purpose of llama.cpp is to enable LLM (Large Language Model) inference with minimal setup and state-of-the-art performance on a wide range of tools.</x:v>
      </x:c>
      <x:c r="N33" s="42" t="n">
        <x:v>5</x:v>
      </x:c>
      <x:c r="O33" s="42" t="n">
        <x:v>4</x:v>
      </x:c>
      <x:c r="P33" s="42" t="n">
        <x:v>4</x:v>
      </x:c>
      <x:c r="Q33" s="42" t="n">
        <x:v>3</x:v>
      </x:c>
      <x:c r="R33" s="42" t="n">
        <x:v>5</x:v>
      </x:c>
      <x:c r="S33" s="42" t="n">
        <x:v>4</x:v>
      </x:c>
      <x:c r="T33" s="50" t="n">
        <x:f>IF(COUNT(N33:S33)=6,AVERAGE(N33:S33),"")</x:f>
        <x:v>4.166666666666667</x:v>
      </x:c>
      <x:c r="U33" s="34" t="str">
        <x:v>AI draft note: Accurately states the core purpose, though it omits C/C++ and explicit local/cloud hardware support.</x:v>
      </x:c>
      <x:c r="V33" s="52" t="str">
        <x:v>AI draft (Codex/GPT); human review required</x:v>
      </x:c>
      <x:c r="W33" s="54" t="str">
        <x:v>2026-06-29</x:v>
      </x:c>
      <x:c r="X33" s="58" t="str">
        <x:v>AI draft - needs human review</x:v>
      </x:c>
    </x:row>
    <x:row r="34" ht="84" customHeight="1">
      <x:c r="A34" s="34" t="str">
        <x:v>M4-Q023-R1</x:v>
      </x:c>
      <x:c r="B34" s="34" t="str">
        <x:v>M4</x:v>
      </x:c>
      <x:c r="C34" s="34" t="str">
        <x:v>Q023</x:v>
      </x:c>
      <x:c r="D34" s="34" t="str">
        <x:v>1</x:v>
      </x:c>
      <x:c r="E34" s="34" t="str">
        <x:v>D3</x:v>
      </x:c>
      <x:c r="F34" s="34" t="str">
        <x:v>NIST AI RMF</x:v>
      </x:c>
      <x:c r="G34" s="34" t="str">
        <x:v>explanation</x:v>
      </x:c>
      <x:c r="H34" s="34" t="str">
        <x:v>medium</x:v>
      </x:c>
      <x:c r="I34" s="34" t="str">
        <x:v>one_document</x:v>
      </x:c>
      <x:c r="J34" s="34" t="str">
        <x:v>What does it mean to consider trustworthiness in AI design and evaluation?</x:v>
      </x:c>
      <x:c r="K34" s="34" t="str">
        <x:v>A good answer should mention that trustworthiness includes more than accuracy: valid and reliable, safe, secure and resilient, accountable and transparent, explainable and interpretable, privacy-enhanced, and fair with harmful bias managed.</x:v>
      </x:c>
      <x:c r="L34" s="34" t="str">
        <x:v>D3 AI RMF section 3; D3 Figure 4 discussion</x:v>
      </x:c>
      <x:c r="M34" s="34" t="str">
        <x:v>Considering trustworthiness in AI design and evaluation involves evaluating the characteristics that ensure the reliability, transparency, and fairness of AI systems. It involves understanding the social and organizational behavior, the datasets used by AI systems, the selection of AI models and algorithms, and the decisions made by those who build them. Human judgment should be employed when deciding on the specific metrics related to AI trustworthiness characteristics and the precise threshold values for those metrics. Addressing trustworthiness characteristics individually will not ensure AI system trustworthiness; tradeoffs are usually involved, and some characteristics may be more or less important in any given situation. Ultimately, trustworthiness is a social concept that ranges across a spectrum and is only as strong as its weakest link.</x:v>
      </x:c>
      <x:c r="N34" s="42" t="n">
        <x:v>4</x:v>
      </x:c>
      <x:c r="O34" s="42" t="n">
        <x:v>4</x:v>
      </x:c>
      <x:c r="P34" s="42" t="n">
        <x:v>4</x:v>
      </x:c>
      <x:c r="Q34" s="42" t="n">
        <x:v>3</x:v>
      </x:c>
      <x:c r="R34" s="42" t="n">
        <x:v>5</x:v>
      </x:c>
      <x:c r="S34" s="42" t="n">
        <x:v>4</x:v>
      </x:c>
      <x:c r="T34" s="50" t="n">
        <x:f>IF(COUNT(N34:S34)=6,AVERAGE(N34:S34),"")</x:f>
        <x:v>4</x:v>
      </x:c>
      <x:c r="U34" s="34" t="str">
        <x:v>AI draft note: Strong trustworthiness and trade-off discussion, but names only reliability, transparency, and fairness rather than the full characteristic set.</x:v>
      </x:c>
      <x:c r="V34" s="52" t="str">
        <x:v>AI draft (Codex/GPT); human review required</x:v>
      </x:c>
      <x:c r="W34" s="54" t="str">
        <x:v>2026-06-29</x:v>
      </x:c>
      <x:c r="X34" s="58" t="str">
        <x:v>AI draft - needs human review</x:v>
      </x:c>
    </x:row>
    <x:row r="35" ht="84" customHeight="1">
      <x:c r="A35" s="34" t="str">
        <x:v>A7-Q024-R1</x:v>
      </x:c>
      <x:c r="B35" s="34" t="str">
        <x:v>A7</x:v>
      </x:c>
      <x:c r="C35" s="34" t="str">
        <x:v>Q024</x:v>
      </x:c>
      <x:c r="D35" s="34" t="str">
        <x:v>1</x:v>
      </x:c>
      <x:c r="E35" s="34" t="str">
        <x:v>D3</x:v>
      </x:c>
      <x:c r="F35" s="34" t="str">
        <x:v>NIST AI RMF</x:v>
      </x:c>
      <x:c r="G35" s="34" t="str">
        <x:v>source_grounded_synthesis</x:v>
      </x:c>
      <x:c r="H35" s="34" t="str">
        <x:v>hard</x:v>
      </x:c>
      <x:c r="I35" s="34" t="str">
        <x:v>one_document</x:v>
      </x:c>
      <x:c r="J35" s="34" t="str">
        <x:v>How can an AI risk framework support evaluation beyond accuracy alone?</x:v>
      </x:c>
      <x:c r="K35" s="34" t="str">
        <x:v>A good answer should explain that the framework encourages evaluation of reliability, safety, security, transparency, explainability, privacy, fairness, and context of use. In this dissertation, that supports measuring system metrics and discussing privacy, not only answer correctness.</x:v>
      </x:c>
      <x:c r="L35" s="34" t="str">
        <x:v>D3 AI RMF section 3; D3 Core functions section</x:v>
      </x:c>
      <x:c r="M35" s="34" t="str">
        <x:v>Okay, here’s a rephrased and expanded answer based on the provided context, aiming to provide a comprehensive response:
“An AI Risk Framework, as outlined, goes beyond simply evaluating accuracy and should focus on providing a broader assessment of system trustworthiness. It’s designed to support evaluation by considering the unique and meaningful information each measurement type – both qualitative and quantitative – offers to comprehensively assess AI risks.  The framework should be useful to a wide range of perspectives, sectors, and technology domains, and it should be consistently or aligned with other risk management approaches.  Crucially, it should be outcome-focused, providing a catalog of outcomes and approaches rather than prescriptive rules.  This allows for a more adaptable and useful tool for risk management, facilitating continuous improvement and enhanced transparency and accountability.  The framework will also incorporate mechanisms for assessing emergent risks and will prioritize risk management based on assessment and ongoing monitoring and improvement, ultimately aiming to effectively manage the risks of deployed AI systems.”
---
**Key additions and changes made:**
*   **Expanded on "unique and meaningful information":**  I added this phrase to highlight the value of qualitative and quantitative data.
*   **Emphasized adaptability:**  The answer now stresses the framework’s usefulness through its adaptability to different contexts.
*   **Clarified the goal of outcome-focused evaluation:** I added this to emphasize the framework’s purpose.
*   **Highlighted the continuous improvement aspect:** Added this to show the framework’s ongoing nature.
Let me know if you’d like me to refine this further!</x:v>
      </x:c>
      <x:c r="N35" s="42" t="n">
        <x:v>4</x:v>
      </x:c>
      <x:c r="O35" s="42" t="n">
        <x:v>3</x:v>
      </x:c>
      <x:c r="P35" s="42" t="n">
        <x:v>3</x:v>
      </x:c>
      <x:c r="Q35" s="42" t="n">
        <x:v>3</x:v>
      </x:c>
      <x:c r="R35" s="42" t="n">
        <x:v>3</x:v>
      </x:c>
      <x:c r="S35" s="42" t="n">
        <x:v>3</x:v>
      </x:c>
      <x:c r="T35" s="50" t="n">
        <x:f>IF(COUNT(N35:S35)=6,AVERAGE(N35:S35),"")</x:f>
        <x:v>3.1666666666666665</x:v>
      </x:c>
      <x:c r="U35" s="34" t="str">
        <x:v>AI draft note: Relevant broader-risk framing with transparency and accountability, but omits most named dimensions and includes unnecessary meta-commentary.</x:v>
      </x:c>
      <x:c r="V35" s="52" t="str">
        <x:v>AI draft (Codex/GPT); human review required</x:v>
      </x:c>
      <x:c r="W35" s="54" t="str">
        <x:v>2026-06-29</x:v>
      </x:c>
      <x:c r="X35" s="58" t="str">
        <x:v>AI draft - needs human review</x:v>
      </x:c>
    </x:row>
    <x:row r="36" ht="84" customHeight="1">
      <x:c r="A36" s="34" t="str">
        <x:v>K8-Q036-R1</x:v>
      </x:c>
      <x:c r="B36" s="34" t="str">
        <x:v>K8</x:v>
      </x:c>
      <x:c r="C36" s="34" t="str">
        <x:v>Q036</x:v>
      </x:c>
      <x:c r="D36" s="34" t="str">
        <x:v>1</x:v>
      </x:c>
      <x:c r="E36" s="34" t="str">
        <x:v>D4</x:v>
      </x:c>
      <x:c r="F36" s="34" t="str">
        <x:v>ICO AI Data Protection Guidance</x:v>
      </x:c>
      <x:c r="G36" s="34" t="str">
        <x:v>source_grounded_synthesis</x:v>
      </x:c>
      <x:c r="H36" s="34" t="str">
        <x:v>hard</x:v>
      </x:c>
      <x:c r="I36" s="34" t="str">
        <x:v>one_document</x:v>
      </x:c>
      <x:c r="J36" s="34" t="str">
        <x:v>How can local deployment reduce some privacy risks while leaving other data protection responsibilities in place?</x:v>
      </x:c>
      <x:c r="K36" s="34" t="str">
        <x:v>A good answer should say local deployment can reduce transfer of questions or documents to external providers, but responsibilities remain for lawful processing, transparency, security, data minimisation, logging, retention, and access control on the local system.</x:v>
      </x:c>
      <x:c r="L36" s="34" t="str">
        <x:v>D4 ICO transparency; lawfulness; security and data minimisation chapters</x:v>
      </x:c>
      <x:c r="M36" s="34" t="str">
        <x:v>Deploying a machine learning (ML) model locally can help reduce some privacy risks, but it is not sufficient to leave other data protection responsibilities intact. To fully assess the risk of personal data used to train the model being exposed as a result of its deployment, it is necessary to collaborate with the clients. This involves understanding the particular deployment contexts and associated threat models. The procurement policy should include sufficient information sharing between each party to perform their respective respective responsibilities. This involves understanding the development stage, where personal data is being processed to train the model, and the deployment stage, where the results of the model are applied to other individuals who were not part of the training dataset. The development stage involves the processing of personal data, while the deployment stage involves the application of the model's results to other individuals.</x:v>
      </x:c>
      <x:c r="N36" s="42" t="n">
        <x:v>2</x:v>
      </x:c>
      <x:c r="O36" s="42" t="n">
        <x:v>2</x:v>
      </x:c>
      <x:c r="P36" s="42" t="n">
        <x:v>2</x:v>
      </x:c>
      <x:c r="Q36" s="42" t="n">
        <x:v>1</x:v>
      </x:c>
      <x:c r="R36" s="42" t="n">
        <x:v>3</x:v>
      </x:c>
      <x:c r="S36" s="42" t="n">
        <x:v>2</x:v>
      </x:c>
      <x:c r="T36" s="50" t="n">
        <x:f>IF(COUNT(N36:S36)=6,AVERAGE(N36:S36),"")</x:f>
        <x:v>2</x:v>
      </x:c>
      <x:c r="U36" s="34" t="str">
        <x:v>AI draft note: Discusses deployment stages and collaboration but does not explain reduced external transfer or the continuing legal and operational duties requested.</x:v>
      </x:c>
      <x:c r="V36" s="52" t="str">
        <x:v>AI draft (Codex/GPT); human review required</x:v>
      </x:c>
      <x:c r="W36" s="54" t="str">
        <x:v>2026-06-29</x:v>
      </x:c>
      <x:c r="X36" s="58" t="str">
        <x:v>AI draft - needs human review</x:v>
      </x:c>
    </x:row>
    <x:row r="37" ht="84" customHeight="1">
      <x:c r="A37" s="34" t="str">
        <x:v>F3-Q013-R1</x:v>
      </x:c>
      <x:c r="B37" s="34" t="str">
        <x:v>F3</x:v>
      </x:c>
      <x:c r="C37" s="34" t="str">
        <x:v>Q013</x:v>
      </x:c>
      <x:c r="D37" s="34" t="str">
        <x:v>1</x:v>
      </x:c>
      <x:c r="E37" s="34" t="str">
        <x:v>D2</x:v>
      </x:c>
      <x:c r="F37" s="34" t="str">
        <x:v>llama.cpp README</x:v>
      </x:c>
      <x:c r="G37" s="34" t="str">
        <x:v>fact_retrieval</x:v>
      </x:c>
      <x:c r="H37" s="34" t="str">
        <x:v>easy</x:v>
      </x:c>
      <x:c r="I37" s="34" t="str">
        <x:v>one_document</x:v>
      </x:c>
      <x:c r="J37" s="34" t="str">
        <x:v>What does GGUF enable in local model serving?</x:v>
      </x:c>
      <x:c r="K37" s="34" t="str">
        <x:v>A good answer should say that llama.cpp requires or uses models stored in GGUF format, and that GGUF models can be run locally or converted/quantised into smaller files for llama.cpp use.</x:v>
      </x:c>
      <x:c r="L37" s="34" t="str">
        <x:v>D2 README Obtaining and quantizing models; D2 GGUF references</x:v>
      </x:c>
      <x:c r="M37" s="34" t="str">
        <x:v>GGUF (Generalized GEMM) enables local model serving by enabling speculative decoding, which is a technique used in GEMM (Generalized Elementary Matrix Multiplication) to optimize the computation of matrix products. This allows the model to make fewer computations and potentially reduce the likelihood of errors, making it more efficient and reliable for local inference.</x:v>
      </x:c>
      <x:c r="N37" s="42" t="n">
        <x:v>2</x:v>
      </x:c>
      <x:c r="O37" s="42" t="n">
        <x:v>0</x:v>
      </x:c>
      <x:c r="P37" s="42" t="n">
        <x:v>0</x:v>
      </x:c>
      <x:c r="Q37" s="42" t="n">
        <x:v>0</x:v>
      </x:c>
      <x:c r="R37" s="42" t="n">
        <x:v>0</x:v>
      </x:c>
      <x:c r="S37" s="42" t="n">
        <x:v>0</x:v>
      </x:c>
      <x:c r="T37" s="50" t="n">
        <x:f>IF(COUNT(N37:S37)=6,AVERAGE(N37:S37),"")</x:f>
        <x:v>0.3333333333333333</x:v>
      </x:c>
      <x:c r="U37" s="34" t="str">
        <x:v>AI draft note: Incorrectly expands and defines GGUF as a matrix-computation technique and fails to discuss model format, local execution, conversion, or quantisation.</x:v>
      </x:c>
      <x:c r="V37" s="52" t="str">
        <x:v>AI draft (Codex/GPT); human review required</x:v>
      </x:c>
      <x:c r="W37" s="54" t="str">
        <x:v>2026-06-29</x:v>
      </x:c>
      <x:c r="X37" s="58" t="str">
        <x:v>AI draft - needs human review</x:v>
      </x:c>
    </x:row>
    <x:row r="38" ht="84" customHeight="1">
      <x:c r="A38" s="34" t="str">
        <x:v>K8-Q025-R1</x:v>
      </x:c>
      <x:c r="B38" s="34" t="str">
        <x:v>K8</x:v>
      </x:c>
      <x:c r="C38" s="34" t="str">
        <x:v>Q025</x:v>
      </x:c>
      <x:c r="D38" s="34" t="str">
        <x:v>1</x:v>
      </x:c>
      <x:c r="E38" s="34" t="str">
        <x:v>D3</x:v>
      </x:c>
      <x:c r="F38" s="34" t="str">
        <x:v>NIST AI RMF</x:v>
      </x:c>
      <x:c r="G38" s="34" t="str">
        <x:v>comparison</x:v>
      </x:c>
      <x:c r="H38" s="34" t="str">
        <x:v>medium</x:v>
      </x:c>
      <x:c r="I38" s="34" t="str">
        <x:v>one_document</x:v>
      </x:c>
      <x:c r="J38" s="34" t="str">
        <x:v>Why should risks to individuals organisations and society be considered separately?</x:v>
      </x:c>
      <x:c r="K38" s="34" t="str">
        <x:v>A good answer should explain that AI impacts can occur at different levels: individual harms, organisational failures, and wider societal effects. Treating them separately helps avoid reducing risk to only model accuracy or technical performance.</x:v>
      </x:c>
      <x:c r="L38" s="34" t="str">
        <x:v>D3 AI RMF web overview; D3 Executive Summary; D3 Framing Risk</x:v>
      </x:c>
      <x:c r="M38" s="34" t="str">
        <x:v>    The context provided indicates that risks should be considered separately for individuals, organizations, and society because they are interconnected and the actions taken to manage them can have different impacts on each. For example, if an AI system is used to manage a company's operations, the AI system might be designed to manage risks related to the company's business, but the AI system could also be used to manage risks related to the AI system itself, such as cybersecurity vulnerabilities. Therefore, it is important to consider the AI system as part of the broader context of risk management, as it is a part of the AI system's ecosystem and its use. This is consistent with the broader context of risk management, which refers to coordinated activities to direct and control an organization with regard to risk. The context also mentions that risk tolerances can be influenced by policies and norms established by AI system owners, organizations, industries, or policy makers. This suggests that there are different contexts and application and use-case specific. The context also mentions that different organizations may have varied risk tolerances due to their particular organizational priorities and resource considerations. This indicates that the context is a main source of the question and answer. The context also mentions that emerging knowledge and risks are also considered as part of broader enterprise risk management considerations, which may incorporate AI risks. This suggests that the context is a main source of the context and the question and answer. The context also mentions that different organizations may have varied risk tolerances due to their particular organizational priorities and resource considerations. This indicates that the context is a main source of the question and context and the context and the answer. The context also mentions that emerging knowledge and risks are also considered as part of broader enterprise risk management considerations, which may incorporate AI risks. This suggests that the context is a main source of the question and context and the context and the context and the answer. The context also mentions that different organizations may have varied risk tolerances due to their particular organizational priorities and resource considerations. This suggests that the context is a main source of the question and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x:v>
      </x:c>
      <x:c r="N38" s="42" t="n">
        <x:v>2</x:v>
      </x:c>
      <x:c r="O38" s="42" t="n">
        <x:v>2</x:v>
      </x:c>
      <x:c r="P38" s="42" t="n">
        <x:v>2</x:v>
      </x:c>
      <x:c r="Q38" s="42" t="n">
        <x:v>1</x:v>
      </x:c>
      <x:c r="R38" s="42" t="n">
        <x:v>2</x:v>
      </x:c>
      <x:c r="S38" s="42" t="n">
        <x:v>2</x:v>
      </x:c>
      <x:c r="T38" s="50" t="n">
        <x:f>IF(COUNT(N38:S38)=6,AVERAGE(N38:S38),"")</x:f>
        <x:v>1.8333333333333333</x:v>
      </x:c>
      <x:c r="U38" s="34" t="str">
        <x:v>AI draft note: Highly repetitive and truncated; discusses organisational context but never distinguishes individual harms, organisational failures, and societal effects.</x:v>
      </x:c>
      <x:c r="V38" s="52" t="str">
        <x:v>AI draft (Codex/GPT); human review required</x:v>
      </x:c>
      <x:c r="W38" s="54" t="str">
        <x:v>2026-06-29</x:v>
      </x:c>
      <x:c r="X38" s="58" t="str">
        <x:v>AI draft - needs human review</x:v>
      </x:c>
    </x:row>
    <x:row r="39" ht="84" customHeight="1">
      <x:c r="A39" s="34" t="str">
        <x:v>K8-Q013-R1</x:v>
      </x:c>
      <x:c r="B39" s="34" t="str">
        <x:v>K8</x:v>
      </x:c>
      <x:c r="C39" s="34" t="str">
        <x:v>Q013</x:v>
      </x:c>
      <x:c r="D39" s="34" t="str">
        <x:v>1</x:v>
      </x:c>
      <x:c r="E39" s="34" t="str">
        <x:v>D2</x:v>
      </x:c>
      <x:c r="F39" s="34" t="str">
        <x:v>llama.cpp README</x:v>
      </x:c>
      <x:c r="G39" s="34" t="str">
        <x:v>fact_retrieval</x:v>
      </x:c>
      <x:c r="H39" s="34" t="str">
        <x:v>easy</x:v>
      </x:c>
      <x:c r="I39" s="34" t="str">
        <x:v>one_document</x:v>
      </x:c>
      <x:c r="J39" s="34" t="str">
        <x:v>What does GGUF enable in local model serving?</x:v>
      </x:c>
      <x:c r="K39" s="34" t="str">
        <x:v>A good answer should say that llama.cpp requires or uses models stored in GGUF format, and that GGUF models can be run locally or converted/quantised into smaller files for llama.cpp use.</x:v>
      </x:c>
      <x:c r="L39" s="34" t="str">
        <x:v>D2 README Obtaining and quantizing models; D2 GGUF references</x:v>
      </x:c>
      <x:c r="M39" s="34" t="str">
        <x:v>In the context provided, GGUF (Generalized Inference with a Small Model) is a small variant of the target model. It is designed to be a lightweight version of the target model, which is likely to be a larger variant of the target model. The context suggests that GGUF is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x:v>
      </x:c>
      <x:c r="N39" s="42" t="n">
        <x:v>1</x:v>
      </x:c>
      <x:c r="O39" s="42" t="n">
        <x:v>0</x:v>
      </x:c>
      <x:c r="P39" s="42" t="n">
        <x:v>0</x:v>
      </x:c>
      <x:c r="Q39" s="42" t="n">
        <x:v>0</x:v>
      </x:c>
      <x:c r="R39" s="42" t="n">
        <x:v>0</x:v>
      </x:c>
      <x:c r="S39" s="42" t="n">
        <x:v>0</x:v>
      </x:c>
      <x:c r="T39" s="50" t="n">
        <x:f>IF(COUNT(N39:S39)=6,AVERAGE(N39:S39),"")</x:f>
        <x:v>0.16666666666666666</x:v>
      </x:c>
      <x:c r="U39" s="34" t="str">
        <x:v>AI draft note: Fabricates GGUF as a small model variant, repeats the false claim, and truncates without answering the question.</x:v>
      </x:c>
      <x:c r="V39" s="52" t="str">
        <x:v>AI draft (Codex/GPT); human review required</x:v>
      </x:c>
      <x:c r="W39" s="54" t="str">
        <x:v>2026-06-29</x:v>
      </x:c>
      <x:c r="X39" s="58" t="str">
        <x:v>AI draft - needs human review</x:v>
      </x:c>
    </x:row>
    <x:row r="40" ht="84" customHeight="1">
      <x:c r="A40" s="34" t="str">
        <x:v>A7-Q001-R1</x:v>
      </x:c>
      <x:c r="B40" s="34" t="str">
        <x:v>A7</x:v>
      </x:c>
      <x:c r="C40" s="34" t="str">
        <x:v>Q001</x:v>
      </x:c>
      <x:c r="D40" s="34" t="str">
        <x:v>1</x:v>
      </x:c>
      <x:c r="E40" s="34" t="str">
        <x:v>D1</x:v>
      </x:c>
      <x:c r="F40" s="34" t="str">
        <x:v>RAG Paper</x:v>
      </x:c>
      <x:c r="G40" s="34" t="str">
        <x:v>fact_retrieval</x:v>
      </x:c>
      <x:c r="H40" s="34" t="str">
        <x:v>easy</x:v>
      </x:c>
      <x:c r="I40" s="34" t="str">
        <x:v>one_document</x:v>
      </x:c>
      <x:c r="J40" s="34" t="str">
        <x:v>What problem does retrieval-augmented generation try to address in knowledge-intensive NLP tasks?</x:v>
      </x:c>
      <x:c r="K40" s="34" t="str">
        <x:v>A good answer should say that RAG addresses limitations of parametric-only language models on knowledge-intensive tasks: difficulty accessing precise external knowledge, updating knowledge, giving provenance, and avoiding unsupported generation. It should mention that RAG adds retrieval from an explicit knowledge source to generation.</x:v>
      </x:c>
      <x:c r="L40" s="34" t="str">
        <x:v>D1 abstract; D1 Introduction</x:v>
      </x:c>
      <x:c r="M40" s="34" t="str">
        <x:v>Retrieval-Augmented Generation (RAG) aims to address the problem of knowledge-intensive NLP tasks by leveraging external knowledge sources to improve performance. Essentially, it combines the strengths of language models with the ability to access and utilize a larger, more comprehensive knowledge base.</x:v>
      </x:c>
      <x:c r="N40" s="42" t="n">
        <x:v>4</x:v>
      </x:c>
      <x:c r="O40" s="42" t="n">
        <x:v>4</x:v>
      </x:c>
      <x:c r="P40" s="42" t="n">
        <x:v>4</x:v>
      </x:c>
      <x:c r="Q40" s="42" t="n">
        <x:v>3</x:v>
      </x:c>
      <x:c r="R40" s="42" t="n">
        <x:v>5</x:v>
      </x:c>
      <x:c r="S40" s="42" t="n">
        <x:v>4</x:v>
      </x:c>
      <x:c r="T40" s="50" t="n">
        <x:f>IF(COUNT(N40:S40)=6,AVERAGE(N40:S40),"")</x:f>
        <x:v>4</x:v>
      </x:c>
      <x:c r="U40" s="34" t="str">
        <x:v>AI draft note: Correctly explains combining generation with external knowledge, but omits updating, provenance, and unsupported-generation limitations.</x:v>
      </x:c>
      <x:c r="V40" s="52" t="str">
        <x:v>AI draft (Codex/GPT); human review required</x:v>
      </x:c>
      <x:c r="W40" s="54" t="str">
        <x:v>2026-06-29</x:v>
      </x:c>
      <x:c r="X40" s="58" t="str">
        <x:v>AI draft - needs human review</x:v>
      </x:c>
    </x:row>
    <x:row r="41" ht="84" customHeight="1">
      <x:c r="A41" s="34" t="str">
        <x:v>T2-Q009-R1</x:v>
      </x:c>
      <x:c r="B41" s="34" t="str">
        <x:v>T2</x:v>
      </x:c>
      <x:c r="C41" s="34" t="str">
        <x:v>Q009</x:v>
      </x:c>
      <x:c r="D41" s="34" t="str">
        <x:v>1</x:v>
      </x:c>
      <x:c r="E41" s="34" t="str">
        <x:v>D1</x:v>
      </x:c>
      <x:c r="F41" s="34" t="str">
        <x:v>RAG Paper</x:v>
      </x:c>
      <x:c r="G41" s="34" t="str">
        <x:v>explanation</x:v>
      </x:c>
      <x:c r="H41" s="34" t="str">
        <x:v>medium</x:v>
      </x:c>
      <x:c r="I41" s="34" t="str">
        <x:v>one_document</x:v>
      </x:c>
      <x:c r="J41" s="34" t="str">
        <x:v>Why is grounding an answer in retrieved evidence useful for reducing unsupported claims?</x:v>
      </x:c>
      <x:c r="K41" s="34" t="str">
        <x:v>A good answer should explain that retrieved evidence gives the generator relevant factual context and gives the evaluator material to compare against. It should not claim grounding fully eliminates hallucination; it reduces risk when retrieval and generation work correctly.</x:v>
      </x:c>
      <x:c r="L41" s="34" t="str">
        <x:v>D1 Introduction; D1 Results section 4.2; D1 Table 3 discussion</x:v>
      </x:c>
      <x:c r="M41" s="34" t="str">
        <x:v>The usefulness of grounding an answer in retrieved evidence for reducing unsupported claims can be explained in the context of AI systems and their applications in various fields, such as medical diagnosis, social media moderation, and data analysis.
In these contexts, AI systems are often used to analyze data, identify patterns, and make predictions or classifications. However, in some cases, the data may not be sufficient or accurate enough to support a conclusion. This is where grounding comes into play.
Grounding refers to the process of linking an answer or inference to a specific piece of evidence or data. By doing so, AI systems can provide more accurate and reliable information, as they are grounded in the actual data rather than relying on statistical accuracy or the correctness of the AI system itself.
For instance, in medical diagnosis, a doctor might use an AI system to analyze patient data and identify potential health risks. However, if the AI system incorrectly identifies a patient as having a certain condition, the doctor may need to ground the answer in retrieved evidence, such as medical literature or patient records, to provide a more accurate diagnosis.
Similarly, in social media moderation, AI systems may be used to analyze online content and identify potential offensives. However, if the AI system incorrectly flags a piece of content as offensive, the user may need to ground the answer in retrieved evidence, such as the content itself or expert opinions, to provide a more accurate assessment.
In both cases, grounding an answer in retrieved evidence can help reduce unsupported claims and provide more accurate information. By linking an answer to specific data, AI systems can reduce the risk of incorrect or misleading information, and provide users with more reliable and trustworthy insights.
In summary, grounding an answer in retrieved evidence is a crucial aspect of AI systems, particularly in applications where data accuracy and reliability are critical, such as medical diagnosis and social media moderation. By providing more accurate and reliable information, grounding can help reduce unsupported claims and promote trust in AI systems.</x:v>
      </x:c>
      <x:c r="N41" s="42" t="n">
        <x:v>4</x:v>
      </x:c>
      <x:c r="O41" s="42" t="n">
        <x:v>3</x:v>
      </x:c>
      <x:c r="P41" s="42" t="n">
        <x:v>3</x:v>
      </x:c>
      <x:c r="Q41" s="42" t="n">
        <x:v>3</x:v>
      </x:c>
      <x:c r="R41" s="42" t="n">
        <x:v>3</x:v>
      </x:c>
      <x:c r="S41" s="42" t="n">
        <x:v>3</x:v>
      </x:c>
      <x:c r="T41" s="50" t="n">
        <x:f>IF(COUNT(N41:S41)=6,AVERAGE(N41:S41),"")</x:f>
        <x:v>3.1666666666666665</x:v>
      </x:c>
      <x:c r="U41" s="34" t="str">
        <x:v>AI draft note: Explains evidence-based checking and reduced unsupported claims, but uses distracting examples and overstates accuracy without the retrieval/generation caveat.</x:v>
      </x:c>
      <x:c r="V41" s="52" t="str">
        <x:v>AI draft (Codex/GPT); human review required</x:v>
      </x:c>
      <x:c r="W41" s="54" t="str">
        <x:v>2026-06-29</x:v>
      </x:c>
      <x:c r="X41" s="58" t="str">
        <x:v>AI draft - needs human review</x:v>
      </x:c>
    </x:row>
    <x:row r="42" ht="84" customHeight="1">
      <x:c r="A42" s="34" t="str">
        <x:v>R9-Q016-R1</x:v>
      </x:c>
      <x:c r="B42" s="34" t="str">
        <x:v>R9</x:v>
      </x:c>
      <x:c r="C42" s="34" t="str">
        <x:v>Q016</x:v>
      </x:c>
      <x:c r="D42" s="34" t="str">
        <x:v>1</x:v>
      </x:c>
      <x:c r="E42" s="34" t="str">
        <x:v>D2</x:v>
      </x:c>
      <x:c r="F42" s="34" t="str">
        <x:v>llama.cpp README</x:v>
      </x:c>
      <x:c r="G42" s="34" t="str">
        <x:v>explanation</x:v>
      </x:c>
      <x:c r="H42" s="34" t="str">
        <x:v>medium</x:v>
      </x:c>
      <x:c r="I42" s="34" t="str">
        <x:v>one_document</x:v>
      </x:c>
      <x:c r="J42" s="34" t="str">
        <x:v>Why is an OpenAI-compatible endpoint useful for this project?</x:v>
      </x:c>
      <x:c r="K42" s="34" t="str">
        <x:v>A good answer should explain that an OpenAI-compatible chat-completions endpoint lets the FastAPI backend call a local model using a familiar API style, reducing changes needed in the RAG app while avoiding a cloud API call.</x:v>
      </x:c>
      <x:c r="L42" s="34" t="str">
        <x:v>D2 README llama-server section; project architecture context</x:v>
      </x:c>
      <x:c r="M42" s="34" t="str">
        <x:v>An OpenAI-compatible endpoint is useful for this project because it allows for the integration of advanced AI capabilities with the existing infrastructure and ecosystem. OpenAI's models are known for their high quality and innovation, making them a valuable resource for enhancing the capabilities of the AI system. By using an OpenAI-compatible endpoint, the project can benefit from the rich ecosystem of contributors and services built up around existing frameworks, ensuring a robust and scalable solution. Additionally, OpenAI's models often have a smaller codebase and fewer external dependencies, reducing the risk of integration issues and improving overall performance.</x:v>
      </x:c>
      <x:c r="N42" s="42" t="n">
        <x:v>2</x:v>
      </x:c>
      <x:c r="O42" s="42" t="n">
        <x:v>1</x:v>
      </x:c>
      <x:c r="P42" s="42" t="n">
        <x:v>1</x:v>
      </x:c>
      <x:c r="Q42" s="42" t="n">
        <x:v>1</x:v>
      </x:c>
      <x:c r="R42" s="42" t="n">
        <x:v>1</x:v>
      </x:c>
      <x:c r="S42" s="42" t="n">
        <x:v>1</x:v>
      </x:c>
      <x:c r="T42" s="50" t="n">
        <x:f>IF(COUNT(N42:S42)=6,AVERAGE(N42:S42),"")</x:f>
        <x:v>1.1666666666666667</x:v>
      </x:c>
      <x:c r="U42" s="34" t="str">
        <x:v>AI draft note: Confuses API compatibility with using OpenAI cloud models and invents irrelevant benefits; misses local backend interchangeability and avoided cloud calls.</x:v>
      </x:c>
      <x:c r="V42" s="52" t="str">
        <x:v>AI draft (Codex/GPT); human review required</x:v>
      </x:c>
      <x:c r="W42" s="54" t="str">
        <x:v>2026-06-29</x:v>
      </x:c>
      <x:c r="X42" s="58" t="str">
        <x:v>AI draft - needs human review</x:v>
      </x:c>
    </x:row>
    <x:row r="43" ht="84" customHeight="1">
      <x:c r="A43" s="34" t="str">
        <x:v>A7-Q037-R1</x:v>
      </x:c>
      <x:c r="B43" s="34" t="str">
        <x:v>A7</x:v>
      </x:c>
      <x:c r="C43" s="34" t="str">
        <x:v>Q037</x:v>
      </x:c>
      <x:c r="D43" s="34" t="str">
        <x:v>1</x:v>
      </x:c>
      <x:c r="E43" s="34" t="str">
        <x:v>D4</x:v>
      </x:c>
      <x:c r="F43" s="34" t="str">
        <x:v>ICO AI Data Protection Guidance</x:v>
      </x:c>
      <x:c r="G43" s="34" t="str">
        <x:v>boundary_limitation</x:v>
      </x:c>
      <x:c r="H43" s="34" t="str">
        <x:v>hard</x:v>
      </x:c>
      <x:c r="I43" s="34" t="str">
        <x:v>one_document</x:v>
      </x:c>
      <x:c r="J43" s="34" t="str">
        <x:v>Why does keeping processing local not remove all data protection responsibilities?</x:v>
      </x:c>
      <x:c r="K43" s="34" t="str">
        <x:v>A good answer should explain that data protection obligations apply whenever personal data is processed, regardless of whether processing is local or cloud-based. Local systems still require lawful basis, transparency, security controls, minimisation, retention management, and accountability.</x:v>
      </x:c>
      <x:c r="L43" s="34" t="str">
        <x:v>D4 ICO lawfulness chapter; D4 transparency chapter; D4 security and data minimisation chapter</x:v>
      </x:c>
      <x:c r="M43" s="34" t="str">
        <x:v>Okay, here’s a rephrased and expanded answer to your question, drawing on the provided context and adding some general knowledge:
“Keeping processing data on the users own hardware isn’t a complete solution to data protection law because recent advancements in specialized hardware for smartphones and embedded devices are making it a increasingly viable and attractive option. However, it doesn’t eliminate all responsibilities.  The core of data protection law centers around ensuring that data is processed lawfully and ethically.  While local processing is generally considered a reasonable approach, it’s not without its complexities.  The key is that the organization creating and distributing the model – the one processing the data – still holds significant control over how the data is used.  This control extends beyond simply storing the data; it encompasses determining *how* the data is processed and *why*.
Furthermore, the context highlights that even if personal data is processed on a user’s device, the organization creating and distributing the model is still considered the controller. This means they have the responsibility to ensure the processing aligns with legal requirements and doesn’t cause harm.  It also introduces a layer of additional responsibility – you need to carefully assess the potential impact of your processing on individuals and demonstrate a compelling benefit justifying the processing.  Crucially, you must demonstrate that the processing is proportionate – that the benefits it provides outweigh the potential risks to individuals.
Finally, if you’re a public authority, relying on legitimate interests requires that the processing isn’t being used solely for performing your duties as a public authority.  There are three key elements to consider: the necessity of the processing, the proportionality of the processing, and demonstrating that there is a compelling benefit to the processing.  Essentially, you need to ensure that your data processing activities are lawful, ethical, and minimize potential harm to individuals.”
---
**Disclaimer:** *I am an AI Chatbot and not a legal professional. This information is for general knowledge and informational purposes only, and does not constitute legal advice. It is essential to consult with a qualified legal expert for any legal questions or concerns.*</x:v>
      </x:c>
      <x:c r="N43" s="42" t="n">
        <x:v>4</x:v>
      </x:c>
      <x:c r="O43" s="42" t="n">
        <x:v>3</x:v>
      </x:c>
      <x:c r="P43" s="42" t="n">
        <x:v>3</x:v>
      </x:c>
      <x:c r="Q43" s="42" t="n">
        <x:v>3</x:v>
      </x:c>
      <x:c r="R43" s="42" t="n">
        <x:v>3</x:v>
      </x:c>
      <x:c r="S43" s="42" t="n">
        <x:v>3</x:v>
      </x:c>
      <x:c r="T43" s="50" t="n">
        <x:f>IF(COUNT(N43:S43)=6,AVERAGE(N43:S43),"")</x:f>
        <x:v>3.1666666666666665</x:v>
      </x:c>
      <x:c r="U43" s="34" t="str">
        <x:v>AI draft note: Correct that local processing does not remove controller obligations, but omits security, minimisation, retention, and accountability and adds legal overgeneralisation.</x:v>
      </x:c>
      <x:c r="V43" s="52" t="str">
        <x:v>AI draft (Codex/GPT); human review required</x:v>
      </x:c>
      <x:c r="W43" s="54" t="str">
        <x:v>2026-06-29</x:v>
      </x:c>
      <x:c r="X43" s="58" t="str">
        <x:v>AI draft - needs human review</x:v>
      </x:c>
    </x:row>
    <x:row r="44" ht="84" customHeight="1">
      <x:c r="A44" s="34" t="str">
        <x:v>F3-Q010-R1</x:v>
      </x:c>
      <x:c r="B44" s="34" t="str">
        <x:v>F3</x:v>
      </x:c>
      <x:c r="C44" s="34" t="str">
        <x:v>Q010</x:v>
      </x:c>
      <x:c r="D44" s="34" t="str">
        <x:v>1</x:v>
      </x:c>
      <x:c r="E44" s="34" t="str">
        <x:v>D1</x:v>
      </x:c>
      <x:c r="F44" s="34" t="str">
        <x:v>RAG Paper</x:v>
      </x:c>
      <x:c r="G44" s="34" t="str">
        <x:v>source_grounded_synthesis</x:v>
      </x:c>
      <x:c r="H44" s="34" t="str">
        <x:v>hard</x:v>
      </x:c>
      <x:c r="I44" s="34" t="str">
        <x:v>one_document</x:v>
      </x:c>
      <x:c r="J44" s="34" t="str">
        <x:v>What does RAG add to a standard language generation system?</x:v>
      </x:c>
      <x:c r="K44" s="34" t="str">
        <x:v>A good answer should say that RAG adds an external retrieval component and a document index to a generator. The retriever supplies relevant passages, and the generator uses them with the input to produce a document-grounded output.</x:v>
      </x:c>
      <x:c r="L44" s="34" t="str">
        <x:v>D1 Figure 1; D1 Methods section 2</x:v>
      </x:c>
      <x:c r="M44" s="34" t="str">
        <x:v>RAG (Recurrent Attention-Augmented Generative) adds diversity to a standard language generation system. It learns to retrieve relevant information for the task, which is essential for generating diverse responses. The retrieval mechanism is effective in improving results for all tasks, with RAG being more factual in 42.7% of cases compared to BART. RAG's ability to generate documents with a posterior probability of 1.0 for each generated token is particularly notable, indicating that it can generate responses accurately. The model's ability to document posterior probabilities for each generated token is also significant, suggesting that it can generate responses with high accuracy.</x:v>
      </x:c>
      <x:c r="N44" s="42" t="n">
        <x:v>2</x:v>
      </x:c>
      <x:c r="O44" s="42" t="n">
        <x:v>1</x:v>
      </x:c>
      <x:c r="P44" s="42" t="n">
        <x:v>1</x:v>
      </x:c>
      <x:c r="Q44" s="42" t="n">
        <x:v>1</x:v>
      </x:c>
      <x:c r="R44" s="42" t="n">
        <x:v>1</x:v>
      </x:c>
      <x:c r="S44" s="42" t="n">
        <x:v>1</x:v>
      </x:c>
      <x:c r="T44" s="50" t="n">
        <x:f>IF(COUNT(N44:S44)=6,AVERAGE(N44:S44),"")</x:f>
        <x:v>1.1666666666666667</x:v>
      </x:c>
      <x:c r="U44" s="34" t="str">
        <x:v>AI draft note: Mis-expands RAG, focuses on diversity statistics, and fails to explain the retriever, document index, passages, and grounded generator output.</x:v>
      </x:c>
      <x:c r="V44" s="52" t="str">
        <x:v>AI draft (Codex/GPT); human review required</x:v>
      </x:c>
      <x:c r="W44" s="54" t="str">
        <x:v>2026-06-29</x:v>
      </x:c>
      <x:c r="X44" s="58" t="str">
        <x:v>AI draft - needs human review</x:v>
      </x:c>
    </x:row>
    <x:row r="45" ht="84" customHeight="1">
      <x:c r="A45" s="34" t="str">
        <x:v>K8-Q002-R1</x:v>
      </x:c>
      <x:c r="B45" s="34" t="str">
        <x:v>K8</x:v>
      </x:c>
      <x:c r="C45" s="34" t="str">
        <x:v>Q002</x:v>
      </x:c>
      <x:c r="D45" s="34" t="str">
        <x:v>1</x:v>
      </x:c>
      <x:c r="E45" s="34" t="str">
        <x:v>D1</x:v>
      </x:c>
      <x:c r="F45" s="34" t="str">
        <x:v>RAG Paper</x:v>
      </x:c>
      <x:c r="G45" s="34" t="str">
        <x:v>explanation</x:v>
      </x:c>
      <x:c r="H45" s="34" t="str">
        <x:v>medium</x:v>
      </x:c>
      <x:c r="I45" s="34" t="str">
        <x:v>one_document</x:v>
      </x:c>
      <x:c r="J45" s="34" t="str">
        <x:v>How does RAG combine parametric memory and non-parametric memory?</x:v>
      </x:c>
      <x:c r="K45" s="34" t="str">
        <x:v>A good answer should explain that parametric memory is the pre-trained generator model, while non-parametric memory is an external retrieved document index. The retriever selects relevant passages and the generator conditions on the question plus retrieved passages to produce an answer.</x:v>
      </x:c>
      <x:c r="L45" s="34" t="str">
        <x:v>D1 abstract; D1 Introduction; D1 Methods section 2</x:v>
      </x:c>
      <x:c r="M45" s="34" t="str">
        <x:v>The RAG (Retriever-Generator) combines two types of memory: parametric and non-parametric. The parametric memory is like a neural network that has been trained to generate the correct answers, while the non-parametric memory is like a memory network that has been trained to update the models knowledge as the world changes. The two types of memory work together to generate the correct answers and update the models knowledge as the world changes.</x:v>
      </x:c>
      <x:c r="N45" s="42" t="n">
        <x:v>4</x:v>
      </x:c>
      <x:c r="O45" s="42" t="n">
        <x:v>2</x:v>
      </x:c>
      <x:c r="P45" s="42" t="n">
        <x:v>2</x:v>
      </x:c>
      <x:c r="Q45" s="42" t="n">
        <x:v>2</x:v>
      </x:c>
      <x:c r="R45" s="42" t="n">
        <x:v>3</x:v>
      </x:c>
      <x:c r="S45" s="42" t="n">
        <x:v>2</x:v>
      </x:c>
      <x:c r="T45" s="50" t="n">
        <x:f>IF(COUNT(N45:S45)=6,AVERAGE(N45:S45),"")</x:f>
        <x:v>2.5</x:v>
      </x:c>
      <x:c r="U45" s="34" t="str">
        <x:v>AI draft note: Recognises two memory types but wrongly describes non-parametric memory as a trained memory network and omits retrieval conditioning details.</x:v>
      </x:c>
      <x:c r="V45" s="52" t="str">
        <x:v>AI draft (Codex/GPT); human review required</x:v>
      </x:c>
      <x:c r="W45" s="54" t="str">
        <x:v>2026-06-29</x:v>
      </x:c>
      <x:c r="X45" s="58" t="str">
        <x:v>AI draft - needs human review</x:v>
      </x:c>
    </x:row>
    <x:row r="46" ht="84" customHeight="1">
      <x:c r="A46" s="34" t="str">
        <x:v>M4-Q002-R1</x:v>
      </x:c>
      <x:c r="B46" s="34" t="str">
        <x:v>M4</x:v>
      </x:c>
      <x:c r="C46" s="34" t="str">
        <x:v>Q002</x:v>
      </x:c>
      <x:c r="D46" s="34" t="str">
        <x:v>1</x:v>
      </x:c>
      <x:c r="E46" s="34" t="str">
        <x:v>D1</x:v>
      </x:c>
      <x:c r="F46" s="34" t="str">
        <x:v>RAG Paper</x:v>
      </x:c>
      <x:c r="G46" s="34" t="str">
        <x:v>explanation</x:v>
      </x:c>
      <x:c r="H46" s="34" t="str">
        <x:v>medium</x:v>
      </x:c>
      <x:c r="I46" s="34" t="str">
        <x:v>one_document</x:v>
      </x:c>
      <x:c r="J46" s="34" t="str">
        <x:v>How does RAG combine parametric memory and non-parametric memory?</x:v>
      </x:c>
      <x:c r="K46" s="34" t="str">
        <x:v>A good answer should explain that parametric memory is the pre-trained generator model, while non-parametric memory is an external retrieved document index. The retriever selects relevant passages and the generator conditions on the question plus retrieved passages to produce an answer.</x:v>
      </x:c>
      <x:c r="L46" s="34" t="str">
        <x:v>D1 abstract; D1 Introduction; D1 Methods section 2</x:v>
      </x:c>
      <x:c r="M46" s="34" t="str">
        <x:v>RAG combines parametric memory and non-parametric memory by leveraging both types of memory in its models. The parametric memory component is used to generate the target sequence, while the non-parametric memory component is used to retrieve text documents and provide additional context for the generation process. This allows RAG to learn latent retrieval and retrieve evidence documents rather than related training pairs.</x:v>
      </x:c>
      <x:c r="N46" s="42" t="n">
        <x:v>5</x:v>
      </x:c>
      <x:c r="O46" s="42" t="n">
        <x:v>4</x:v>
      </x:c>
      <x:c r="P46" s="42" t="n">
        <x:v>4</x:v>
      </x:c>
      <x:c r="Q46" s="42" t="n">
        <x:v>4</x:v>
      </x:c>
      <x:c r="R46" s="42" t="n">
        <x:v>5</x:v>
      </x:c>
      <x:c r="S46" s="42" t="n">
        <x:v>4</x:v>
      </x:c>
      <x:c r="T46" s="50" t="n">
        <x:f>IF(COUNT(N46:S46)=6,AVERAGE(N46:S46),"")</x:f>
        <x:v>4.333333333333333</x:v>
      </x:c>
      <x:c r="U46" s="34" t="str">
        <x:v>AI draft note: Correctly describes generator memory, external document retrieval, and added context; only the explicit question-plus-passages conditioning could be clearer.</x:v>
      </x:c>
      <x:c r="V46" s="52" t="str">
        <x:v>AI draft (Codex/GPT); human review required</x:v>
      </x:c>
      <x:c r="W46" s="54" t="str">
        <x:v>2026-06-29</x:v>
      </x:c>
      <x:c r="X46" s="58" t="str">
        <x:v>AI draft - needs human review</x:v>
      </x:c>
    </x:row>
    <x:row r="47" ht="84" customHeight="1">
      <x:c r="A47" s="34" t="str">
        <x:v>M4-Q028-R1</x:v>
      </x:c>
      <x:c r="B47" s="34" t="str">
        <x:v>M4</x:v>
      </x:c>
      <x:c r="C47" s="34" t="str">
        <x:v>Q028</x:v>
      </x:c>
      <x:c r="D47" s="34" t="str">
        <x:v>1</x:v>
      </x:c>
      <x:c r="E47" s="34" t="str">
        <x:v>D3</x:v>
      </x:c>
      <x:c r="F47" s="34" t="str">
        <x:v>NIST AI RMF</x:v>
      </x:c>
      <x:c r="G47" s="34" t="str">
        <x:v>explanation</x:v>
      </x:c>
      <x:c r="H47" s="34" t="str">
        <x:v>medium</x:v>
      </x:c>
      <x:c r="I47" s="34" t="str">
        <x:v>one_document</x:v>
      </x:c>
      <x:c r="J47" s="34" t="str">
        <x:v>How does risk management help frame deployment practicality?</x:v>
      </x:c>
      <x:c r="K47" s="34" t="str">
        <x:v>A good answer should say that deployment practicality includes managing risks, context, operational controls, monitoring, governance, and acceptable trade-offs. A model that runs is not automatically suitable unless its risks and constraints are manageable.</x:v>
      </x:c>
      <x:c r="L47" s="34" t="str">
        <x:v>D3 AI RMF Executive Summary; D3 Core functions Govern Map Measure Manage</x:v>
      </x:c>
      <x:c r="M47" s="34" t="str">
        <x:v>Risk management helps frame deployment practicality by ensuring that AI systems are developed and deployed in a way that minimizes negative impacts while maximizing positive ones. By addressing, documenting, and managing AI risks and potential negative impacts effectively, organizations can create more trustworthy AI systems. This involves assessing the trustworthiness of each AI system, prioritizing resources based on risk level and impact, and allocating resources accordingly. Additionally, it is important to continue applying the MANAGE function to deployed AI systems as methods, contexts, risks, and needs or expectations from relevant AI actors evolve over time.</x:v>
      </x:c>
      <x:c r="N47" s="42" t="n">
        <x:v>4</x:v>
      </x:c>
      <x:c r="O47" s="42" t="n">
        <x:v>4</x:v>
      </x:c>
      <x:c r="P47" s="42" t="n">
        <x:v>4</x:v>
      </x:c>
      <x:c r="Q47" s="42" t="n">
        <x:v>3</x:v>
      </x:c>
      <x:c r="R47" s="42" t="n">
        <x:v>5</x:v>
      </x:c>
      <x:c r="S47" s="42" t="n">
        <x:v>4</x:v>
      </x:c>
      <x:c r="T47" s="50" t="n">
        <x:f>IF(COUNT(N47:S47)=6,AVERAGE(N47:S47),"")</x:f>
        <x:v>4</x:v>
      </x:c>
      <x:c r="U47" s="34" t="str">
        <x:v>AI draft note: Strongly connects risk, impacts, resource prioritisation, monitoring, and changing context to deployment, but operational controls and governance are implicit.</x:v>
      </x:c>
      <x:c r="V47" s="52" t="str">
        <x:v>AI draft (Codex/GPT); human review required</x:v>
      </x:c>
      <x:c r="W47" s="54" t="str">
        <x:v>2026-06-29</x:v>
      </x:c>
      <x:c r="X47" s="58" t="str">
        <x:v>AI draft - needs human review</x:v>
      </x:c>
    </x:row>
    <x:row r="48" ht="84" customHeight="1">
      <x:c r="A48" s="34" t="str">
        <x:v>K8-Q014-R1</x:v>
      </x:c>
      <x:c r="B48" s="34" t="str">
        <x:v>K8</x:v>
      </x:c>
      <x:c r="C48" s="34" t="str">
        <x:v>Q014</x:v>
      </x:c>
      <x:c r="D48" s="34" t="str">
        <x:v>1</x:v>
      </x:c>
      <x:c r="E48" s="34" t="str">
        <x:v>D2</x:v>
      </x:c>
      <x:c r="F48" s="34" t="str">
        <x:v>llama.cpp README</x:v>
      </x:c>
      <x:c r="G48" s="34" t="str">
        <x:v>explanation</x:v>
      </x:c>
      <x:c r="H48" s="34" t="str">
        <x:v>medium</x:v>
      </x:c>
      <x:c r="I48" s="34" t="str">
        <x:v>one_document</x:v>
      </x:c>
      <x:c r="J48" s="34" t="str">
        <x:v>How does quantisation support faster inference or lower memory use?</x:v>
      </x:c>
      <x:c r="K48" s="34" t="str">
        <x:v>A good answer should explain that quantisation stores model weights with fewer bits, such as 4-bit or 8-bit integers, reducing memory use and often improving inference speed. It should also note that quality may change, so it must be benchmarked.</x:v>
      </x:c>
      <x:c r="L48" s="34" t="str">
        <x:v>D2 README Description quantisation bullet; D2 quantisation documentation reference</x:v>
      </x:c>
      <x:c r="M48" s="34" t="str">
        <x:v>To address the question about how quantisation supports faster inference or lower memory use, we need to understand the context provided. The context indicates that there is a range of quantisation methods for integers, including 1.5-bit, 2-bit, 3-bit, 4-bit, 5-bit, 6-bit, and 8-bit, which are used for faster inference and reduced memory use. 
However, the context does not directly answer the question about how quantisation supports faster inference or lower memory use. Instead, it provides a list of methods and their benefits. 
To directly answer the question, we would need to focus on the specific methods mentioned, such as 1.5-bit, 2-bit, 3-bit, 4-bit, 5-bit, 6-bit, and 8-bit quantisation, and how they support faster inference and lower memory use. 
The context does not provide a direct answer to this specific question. It focuses on the methods and their benefits, but not on the methods themselves. 
Therefore, the context does not provide a direct answer to how quantisation supports faster inference or lower memory use. It focuses on the methods and their benefits, but not on the methods themselves. 
The context does not provide a direct answer to this specific question. It focuses on the methods and their benefits, but not on the methods themselves.</x:v>
      </x:c>
      <x:c r="N48" s="42" t="n">
        <x:v>2</x:v>
      </x:c>
      <x:c r="O48" s="42" t="n">
        <x:v>2</x:v>
      </x:c>
      <x:c r="P48" s="42" t="n">
        <x:v>2</x:v>
      </x:c>
      <x:c r="Q48" s="42" t="n">
        <x:v>1</x:v>
      </x:c>
      <x:c r="R48" s="42" t="n">
        <x:v>3</x:v>
      </x:c>
      <x:c r="S48" s="42" t="n">
        <x:v>2</x:v>
      </x:c>
      <x:c r="T48" s="50" t="n">
        <x:f>IF(COUNT(N48:S48)=6,AVERAGE(N48:S48),"")</x:f>
        <x:v>2</x:v>
      </x:c>
      <x:c r="U48" s="34" t="str">
        <x:v>AI draft note: Lists bit levels and claimed benefits but never explains fewer-bit weight storage, mechanism, or quality trade-off; highly repetitive.</x:v>
      </x:c>
      <x:c r="V48" s="52" t="str">
        <x:v>AI draft (Codex/GPT); human review required</x:v>
      </x:c>
      <x:c r="W48" s="54" t="str">
        <x:v>2026-06-29</x:v>
      </x:c>
      <x:c r="X48" s="58" t="str">
        <x:v>AI draft - needs human review</x:v>
      </x:c>
    </x:row>
    <x:row r="49" ht="84" customHeight="1">
      <x:c r="A49" s="34" t="str">
        <x:v>A7-Q034-R1</x:v>
      </x:c>
      <x:c r="B49" s="34" t="str">
        <x:v>A7</x:v>
      </x:c>
      <x:c r="C49" s="34" t="str">
        <x:v>Q034</x:v>
      </x:c>
      <x:c r="D49" s="34" t="str">
        <x:v>1</x:v>
      </x:c>
      <x:c r="E49" s="34" t="str">
        <x:v>D4</x:v>
      </x:c>
      <x:c r="F49" s="34" t="str">
        <x:v>ICO AI Data Protection Guidance</x:v>
      </x:c>
      <x:c r="G49" s="34" t="str">
        <x:v>explanation</x:v>
      </x:c>
      <x:c r="H49" s="34" t="str">
        <x:v>medium</x:v>
      </x:c>
      <x:c r="I49" s="34" t="str">
        <x:v>one_document</x:v>
      </x:c>
      <x:c r="J49" s="34" t="str">
        <x:v>How do security and data minimisation relate to AI deployment?</x:v>
      </x:c>
      <x:c r="K49" s="34" t="str">
        <x:v>A good answer should state that AI systems can worsen security risks and make data minimisation harder. Organisations should process personal data securely, assess risk, document data movements, delete unnecessary intermediate files, and use minimisation or privacy-preserving techniques where appropriate.</x:v>
      </x:c>
      <x:c r="L49" s="34" t="str">
        <x:v>D4 ICO security and data minimisation chapter</x:v>
      </x:c>
      <x:c r="M49" s="34" t="str">
        <x:v>Okay, here’s a rephrased and combined answer based on the provided context, aiming for clarity and completeness:
**How should we assess security and data minimisation in AI?**
The ICO’s guidance emphasizes that security and data minimisation are crucial considerations when deploying AI systems.  AI systems inherently introduce security risks, and the data minimisation principle – which dictates that we only collect and use data that is necessary and adequate for a specific, explicit, and legitimate purpose – presents significant challenges.  This section details how to proactively assess these risks and implement strategies to mitigate them.
Specifically, the ICO highlights that AI systems can exacerbate known security vulnerabilities and make them harder to manage.  It also underscores the importance of ensuring compliance with the data minimisation principle, which requires careful consideration of what data is collected and how it’s used.  The document details techniques to both reduce these risks and ensure the AI system is developed and deployed in a way that respects data privacy.
**What security risks does AI introduce?**
AI systems introduce a range of security risks, including vulnerabilities to adversarial attacks, data poisoning, and model theft. These risks stem from the complexity of AI models and the potential for malicious inputs to compromise their performance.
**What types of privacy attacks apply to AI models?**
AI models can be vulnerable to various privacy attacks, such as inference attacks (where attackers try to learn sensitive information from the model’s output), data leakage attacks (where attackers attempt to extract private data from the model), and model inversion attacks (where attackers try to reconstruct the training data from the model).
**What steps should we take to manage the risks of privacy attacks on AI models?**
The ICO recommends several steps to manage these risks, including:
*   **Data Minimization:** Collecting only the data absolutely necessary for the AI’s purpose.
*   **Privacy-Preserving Techniques:** Employing techniques like differential privacy, federated learning, and homomorphic encryption to protect data during processing.
*   **Security Hardening:** Implementing robust security measures to protect AI models and data from unauthorized access and manipulation.
*   **Regular Audits:** Conducting regular security audits and vulnerability assessments.
**What data minimisation and privacy-preserving techniques are available for AI systems?**
The document outlines various techniques, including differential privacy, federated learning, and homomorphic encryption, which are designed to minimize data collection and protect privacy while still enabling AI development.
**In essence,</x:v>
      </x:c>
      <x:c r="N49" s="42" t="n">
        <x:v>4</x:v>
      </x:c>
      <x:c r="O49" s="42" t="n">
        <x:v>4</x:v>
      </x:c>
      <x:c r="P49" s="42" t="n">
        <x:v>4</x:v>
      </x:c>
      <x:c r="Q49" s="42" t="n">
        <x:v>4</x:v>
      </x:c>
      <x:c r="R49" s="42" t="n">
        <x:v>3</x:v>
      </x:c>
      <x:c r="S49" s="42" t="n">
        <x:v>4</x:v>
      </x:c>
      <x:c r="T49" s="50" t="n">
        <x:f>IF(COUNT(N49:S49)=6,AVERAGE(N49:S49),"")</x:f>
        <x:v>3.8333333333333335</x:v>
      </x:c>
      <x:c r="U49" s="34" t="str">
        <x:v>AI draft note: Covers heightened security risks, minimisation, attacks, and mitigation techniques, but omits documenting data movements and deleting intermediate files and truncates.</x:v>
      </x:c>
      <x:c r="V49" s="52" t="str">
        <x:v>AI draft (Codex/GPT); human review required</x:v>
      </x:c>
      <x:c r="W49" s="54" t="str">
        <x:v>2026-06-29</x:v>
      </x:c>
      <x:c r="X49" s="58" t="str">
        <x:v>AI draft - needs human review</x:v>
      </x:c>
    </x:row>
    <x:row r="50" ht="84" customHeight="1">
      <x:c r="A50" s="34" t="str">
        <x:v>T2-Q010-R1</x:v>
      </x:c>
      <x:c r="B50" s="34" t="str">
        <x:v>T2</x:v>
      </x:c>
      <x:c r="C50" s="34" t="str">
        <x:v>Q010</x:v>
      </x:c>
      <x:c r="D50" s="34" t="str">
        <x:v>1</x:v>
      </x:c>
      <x:c r="E50" s="34" t="str">
        <x:v>D1</x:v>
      </x:c>
      <x:c r="F50" s="34" t="str">
        <x:v>RAG Paper</x:v>
      </x:c>
      <x:c r="G50" s="34" t="str">
        <x:v>source_grounded_synthesis</x:v>
      </x:c>
      <x:c r="H50" s="34" t="str">
        <x:v>hard</x:v>
      </x:c>
      <x:c r="I50" s="34" t="str">
        <x:v>one_document</x:v>
      </x:c>
      <x:c r="J50" s="34" t="str">
        <x:v>What does RAG add to a standard language generation system?</x:v>
      </x:c>
      <x:c r="K50" s="34" t="str">
        <x:v>A good answer should say that RAG adds an external retrieval component and a document index to a generator. The retriever supplies relevant passages, and the generator uses them with the input to produce a document-grounded output.</x:v>
      </x:c>
      <x:c r="L50" s="34" t="str">
        <x:v>D1 Figure 1; D1 Methods section 2</x:v>
      </x:c>
      <x:c r="M50" s="34" t="str">
        <x:v>RAG (Reactive Attention Guidance) is a more diverse and effective language generation model compared to traditional RAG-Tokens and BART (Bidirectional Transformers for Attention). Unlike RAG-Tokens, which rely on token-level retrieval, RAG learns to retrieve relevant information for the task, leading to improved results across various tasks.
In contrast, RAG is more factually accurate than RAG-Tokens in only 7.1% of cases, while RAG was more factual in 42.7% of cases. Moreover, RAG outperforms BART in a further 17% of cases, demonstrating its effectiveness over a state-of-the-art generation model.
RAG's ability to generate more specific and factually accurate responses is attributed to its ability to document posterior p(zi|x,yi,yi) for each generated token, allowing it to better capture the nuances of language. This is particularly evident in Jeopardy questions, where RAG performs best when generating responses that accurately recall two separate pieces of information.
Overall, RAG's unique approach to language generation, which involves learning to retrieve relevant information for the task, makes it a more effective and diverse model compared to traditional RAG-Tokens and BART.</x:v>
      </x:c>
      <x:c r="N50" s="42" t="n">
        <x:v>2</x:v>
      </x:c>
      <x:c r="O50" s="42" t="n">
        <x:v>1</x:v>
      </x:c>
      <x:c r="P50" s="42" t="n">
        <x:v>1</x:v>
      </x:c>
      <x:c r="Q50" s="42" t="n">
        <x:v>1</x:v>
      </x:c>
      <x:c r="R50" s="42" t="n">
        <x:v>1</x:v>
      </x:c>
      <x:c r="S50" s="42" t="n">
        <x:v>1</x:v>
      </x:c>
      <x:c r="T50" s="50" t="n">
        <x:f>IF(COUNT(N50:S50)=6,AVERAGE(N50:S50),"")</x:f>
        <x:v>1.1666666666666667</x:v>
      </x:c>
      <x:c r="U50" s="34" t="str">
        <x:v>AI draft note: Mis-expands RAG and discusses comparative performance instead of the retrieval component, index, supplied passages, and grounded generation process.</x:v>
      </x:c>
      <x:c r="V50" s="52" t="str">
        <x:v>AI draft (Codex/GPT); human review required</x:v>
      </x:c>
      <x:c r="W50" s="54" t="str">
        <x:v>2026-06-29</x:v>
      </x:c>
      <x:c r="X50" s="58" t="str">
        <x:v>AI draft - needs human review</x:v>
      </x:c>
    </x:row>
    <x:row r="51" ht="84" customHeight="1">
      <x:c r="A51" s="34" t="str">
        <x:v>R9-Q022-R1</x:v>
      </x:c>
      <x:c r="B51" s="34" t="str">
        <x:v>R9</x:v>
      </x:c>
      <x:c r="C51" s="34" t="str">
        <x:v>Q022</x:v>
      </x:c>
      <x:c r="D51" s="34" t="str">
        <x:v>1</x:v>
      </x:c>
      <x:c r="E51" s="34" t="str">
        <x:v>D3</x:v>
      </x:c>
      <x:c r="F51" s="34" t="str">
        <x:v>NIST AI RMF</x:v>
      </x:c>
      <x:c r="G51" s="34" t="str">
        <x:v>explanation</x:v>
      </x:c>
      <x:c r="H51" s="34" t="str">
        <x:v>medium</x:v>
      </x:c>
      <x:c r="I51" s="34" t="str">
        <x:v>one_document</x:v>
      </x:c>
      <x:c r="J51" s="34" t="str">
        <x:v>Why does AI risk management matter when deploying AI systems?</x:v>
      </x:c>
      <x:c r="K51" s="34" t="str">
        <x:v>A good answer should explain that AI systems can create risks for individuals, organisations, society, and the environment. Risk management helps identify, document, reduce, and monitor negative impacts while supporting trustworthy and responsible use.</x:v>
      </x:c>
      <x:c r="L51" s="34" t="str">
        <x:v>D3 AI RMF Executive Summary; D3 Framing Risk section</x:v>
      </x:c>
      <x:c r="M51" s="34" t="str">
        <x:v>AI risk management is crucial when deploying AI systems because it helps to identify and assess the risks associated with these systems. This is essential to ensure that the deployment of AI systems is safe and that the risks can be adequately managed. The context provided mentions that the risks of deployed AI systems need to be assessed and managed, and that this is the responsibility of the Framework users. It also emphasizes the importance of continuing to apply the MANAGE function to deployed AI systems as the methods, contexts, risks, and needs or expectations from relevant AI actors evolve over time. The AI system may not be transparent about the risk metrics or methodologies it used, which can complicate risk measurement and management. Regardless, all parties and AI actors should manage risk in the AI systems they develop, deploy, or use as standalone or integrated components. The context also mentions that tracking emergent risks is important, and that organizations should risk management when developing and deploying AI systems in a safe manner until risks can be sufficiently managed.</x:v>
      </x:c>
      <x:c r="N51" s="42" t="n">
        <x:v>4</x:v>
      </x:c>
      <x:c r="O51" s="42" t="n">
        <x:v>4</x:v>
      </x:c>
      <x:c r="P51" s="42" t="n">
        <x:v>4</x:v>
      </x:c>
      <x:c r="Q51" s="42" t="n">
        <x:v>3</x:v>
      </x:c>
      <x:c r="R51" s="42" t="n">
        <x:v>5</x:v>
      </x:c>
      <x:c r="S51" s="42" t="n">
        <x:v>4</x:v>
      </x:c>
      <x:c r="T51" s="50" t="n">
        <x:f>IF(COUNT(N51:S51)=6,AVERAGE(N51:S51),"")</x:f>
        <x:v>4</x:v>
      </x:c>
      <x:c r="U51" s="34" t="str">
        <x:v>AI draft note: Good explanation of identification, continuing management, emergent risks, and safe deployment; affected individuals, society, environment, and documentation are omitted.</x:v>
      </x:c>
      <x:c r="V51" s="52" t="str">
        <x:v>AI draft (Codex/GPT); human review required</x:v>
      </x:c>
      <x:c r="W51" s="54" t="str">
        <x:v>2026-06-29</x:v>
      </x:c>
      <x:c r="X51" s="58" t="str">
        <x:v>AI draft - needs human review</x:v>
      </x:c>
    </x:row>
    <x:row r="52" ht="84" customHeight="1">
      <x:c r="A52" s="34" t="str">
        <x:v>T2-Q013-R1</x:v>
      </x:c>
      <x:c r="B52" s="34" t="str">
        <x:v>T2</x:v>
      </x:c>
      <x:c r="C52" s="34" t="str">
        <x:v>Q013</x:v>
      </x:c>
      <x:c r="D52" s="34" t="str">
        <x:v>1</x:v>
      </x:c>
      <x:c r="E52" s="34" t="str">
        <x:v>D2</x:v>
      </x:c>
      <x:c r="F52" s="34" t="str">
        <x:v>llama.cpp README</x:v>
      </x:c>
      <x:c r="G52" s="34" t="str">
        <x:v>fact_retrieval</x:v>
      </x:c>
      <x:c r="H52" s="34" t="str">
        <x:v>easy</x:v>
      </x:c>
      <x:c r="I52" s="34" t="str">
        <x:v>one_document</x:v>
      </x:c>
      <x:c r="J52" s="34" t="str">
        <x:v>What does GGUF enable in local model serving?</x:v>
      </x:c>
      <x:c r="K52" s="34" t="str">
        <x:v>A good answer should say that llama.cpp requires or uses models stored in GGUF format, and that GGUF models can be run locally or converted/quantised into smaller files for llama.cpp use.</x:v>
      </x:c>
      <x:c r="L52" s="34" t="str">
        <x:v>D2 README Obtaining and quantizing models; D2 GGUF references</x:v>
      </x:c>
      <x:c r="M52" s="34" t="str">
        <x:v>GGUF enables the use of a local model for inference, which is a variant of the target model.</x:v>
      </x:c>
      <x:c r="N52" s="42" t="n">
        <x:v>3</x:v>
      </x:c>
      <x:c r="O52" s="42" t="n">
        <x:v>2</x:v>
      </x:c>
      <x:c r="P52" s="42" t="n">
        <x:v>2</x:v>
      </x:c>
      <x:c r="Q52" s="42" t="n">
        <x:v>1</x:v>
      </x:c>
      <x:c r="R52" s="42" t="n">
        <x:v>3</x:v>
      </x:c>
      <x:c r="S52" s="42" t="n">
        <x:v>2</x:v>
      </x:c>
      <x:c r="T52" s="50" t="n">
        <x:f>IF(COUNT(N52:S52)=6,AVERAGE(N52:S52),"")</x:f>
        <x:v>2.1666666666666665</x:v>
      </x:c>
      <x:c r="U52" s="34" t="str">
        <x:v>AI draft note: States that GGUF enables local inference but gives no explanation of llama.cpp format use, conversion, quantisation, or reduced file size.</x:v>
      </x:c>
      <x:c r="V52" s="52" t="str">
        <x:v>AI draft (Codex/GPT); human review required</x:v>
      </x:c>
      <x:c r="W52" s="54" t="str">
        <x:v>2026-06-29</x:v>
      </x:c>
      <x:c r="X52" s="58" t="str">
        <x:v>AI draft - needs human review</x:v>
      </x:c>
    </x:row>
    <x:row r="53" ht="84" customHeight="1">
      <x:c r="A53" s="34" t="str">
        <x:v>T2-Q036-R1</x:v>
      </x:c>
      <x:c r="B53" s="34" t="str">
        <x:v>T2</x:v>
      </x:c>
      <x:c r="C53" s="34" t="str">
        <x:v>Q036</x:v>
      </x:c>
      <x:c r="D53" s="34" t="str">
        <x:v>1</x:v>
      </x:c>
      <x:c r="E53" s="34" t="str">
        <x:v>D4</x:v>
      </x:c>
      <x:c r="F53" s="34" t="str">
        <x:v>ICO AI Data Protection Guidance</x:v>
      </x:c>
      <x:c r="G53" s="34" t="str">
        <x:v>source_grounded_synthesis</x:v>
      </x:c>
      <x:c r="H53" s="34" t="str">
        <x:v>hard</x:v>
      </x:c>
      <x:c r="I53" s="34" t="str">
        <x:v>one_document</x:v>
      </x:c>
      <x:c r="J53" s="34" t="str">
        <x:v>How can local deployment reduce some privacy risks while leaving other data protection responsibilities in place?</x:v>
      </x:c>
      <x:c r="K53" s="34" t="str">
        <x:v>A good answer should say local deployment can reduce transfer of questions or documents to external providers, but responsibilities remain for lawful processing, transparency, security, data minimisation, logging, retention, and access control on the local system.</x:v>
      </x:c>
      <x:c r="L53" s="34" t="str">
        <x:v>D4 ICO transparency; lawfulness; security and data minimisation chapters</x:v>
      </x:c>
      <x:c r="M53" s="34" t="str">
        <x:v>To mitigate privacy risks associated with local deployment of a machine learning (ML) model, consider the following strategies:
1. **Data anonymization**: Before deploying the model locally, anonymize the data used to train it. This involves removing personally identifiable information (PII) and replacing it with pseudonyms or unique identifiers. This way, even if the model is deployed locally, the data will not be identifiable to the individuals whose data was used to train it.
2. **Model-specific data protection**: Implement data protection measures specific to the deployment context. For example, if the model is deployed locally, ensure that the data is not shared with external parties or used for purposes other than the original deployment.
3. **Secure data storage**: Store the data used to train the model securely, using encryption and access controls to prevent unauthorized access.
4. **Model deployment controls**: Implement controls to prevent the model from being deployed locally without proper authorization. This may include requiring explicit consent from individuals whose data was used to train the model.
5. **Monitoring and auditing**: Regularly monitor and audit the model's performance and deployment to detect any potential privacy breaches.
6. **Collaboration with clients**: Work closely with clients to understand their specific deployment contexts and associated threat models. This will enable you to develop targeted privacy-preserving query approaches that minimize data exposure.
7. **Privacy-preserving query approaches**: Use privacy-preserving query approaches, such as those mentioned in the retrieved context, to minimize the data that is revealed in a query sent to the ML model.
By implementing these strategies, you can reduce some privacy risks associated with local deployment while leaving other data protection responsibilities in place.
**Additional Reading**: For more information on data protection and privacy in ML, refer to the following resources:
- [Privad: Practical Privacy in Online Linked Data](https://www.privad.io/practical-privacy-in-online-linked-data)
- [Data Protection and Privacy in Machine Learning](https://www.gartner.com/en/reports/gartner-data-protection-and-privacy-in-machine-learning)</x:v>
      </x:c>
      <x:c r="N53" s="42" t="n">
        <x:v>4</x:v>
      </x:c>
      <x:c r="O53" s="42" t="n">
        <x:v>3</x:v>
      </x:c>
      <x:c r="P53" s="42" t="n">
        <x:v>3</x:v>
      </x:c>
      <x:c r="Q53" s="42" t="n">
        <x:v>3</x:v>
      </x:c>
      <x:c r="R53" s="42" t="n">
        <x:v>2</x:v>
      </x:c>
      <x:c r="S53" s="42" t="n">
        <x:v>3</x:v>
      </x:c>
      <x:c r="T53" s="50" t="n">
        <x:f>IF(COUNT(N53:S53)=6,AVERAGE(N53:S53),"")</x:f>
        <x:v>3</x:v>
      </x:c>
      <x:c r="U53" s="34" t="str">
        <x:v>AI draft note: Provides useful local controls and reduced sharing, but omits lawful basis, transparency, minimisation, logging, retention, and access control and adds dubious links.</x:v>
      </x:c>
      <x:c r="V53" s="52" t="str">
        <x:v>AI draft (Codex/GPT); human review required</x:v>
      </x:c>
      <x:c r="W53" s="54" t="str">
        <x:v>2026-06-29</x:v>
      </x:c>
      <x:c r="X53" s="58" t="str">
        <x:v>AI draft - needs human review</x:v>
      </x:c>
    </x:row>
    <x:row r="54" ht="84" customHeight="1">
      <x:c r="A54" s="34" t="str">
        <x:v>A7-Q003-R1</x:v>
      </x:c>
      <x:c r="B54" s="34" t="str">
        <x:v>A7</x:v>
      </x:c>
      <x:c r="C54" s="34" t="str">
        <x:v>Q003</x:v>
      </x:c>
      <x:c r="D54" s="34" t="str">
        <x:v>1</x:v>
      </x:c>
      <x:c r="E54" s="34" t="str">
        <x:v>D1</x:v>
      </x:c>
      <x:c r="F54" s="34" t="str">
        <x:v>RAG Paper</x:v>
      </x:c>
      <x:c r="G54" s="34" t="str">
        <x:v>explanation</x:v>
      </x:c>
      <x:c r="H54" s="34" t="str">
        <x:v>medium</x:v>
      </x:c>
      <x:c r="I54" s="34" t="str">
        <x:v>one_document</x:v>
      </x:c>
      <x:c r="J54" s="34" t="str">
        <x:v>Why is provenance important in a question-answering system?</x:v>
      </x:c>
      <x:c r="K54" s="34" t="str">
        <x:v>A good answer should connect provenance to knowing where an answer came from. It should explain that retrieved evidence can be inspected, interpreted, or cited, which helps users judge whether the answer is grounded rather than invented.</x:v>
      </x:c>
      <x:c r="L54" s="34" t="str">
        <x:v>D1 abstract; D1 Introduction</x:v>
      </x:c>
      <x:c r="M54" s="34" t="str">
        <x:v>Provenance is a crucial aspect of question-answering systems because it focuses on the origin and trustworthiness of the information used to generate answers. Essentially, it addresses the question of *where* the answer came from – whether it’s based on reliable sources and verified data.  Without provenance, it’s difficult to assess the accuracy and reliability of a system’s response.  It’s about establishing a chain of evidence, ensuring that the system’s answer is grounded in verifiable facts.  This is particularly important in areas like knowledge-based question answering and when dealing with potentially misleading or fabricated information.  The system needs to trace back the source of the answer to verify its validity.
Here’s a breakdown of why provenance is important, drawing from the provided context:
*   **Trustworthiness:** Provenance helps build trust in the system's answers by demonstrating that they are based on reliable data.
*   **Fact Verification:** It’s a key component in verifying the factual correctness of generated responses.
*   **Error Detection:**  Tracing back the source can help identify potential errors or inconsistencies in the system's reasoning.
*   **Contextual Understanding:**  Provenance can provide valuable context for understanding the question and the system's response.
</x:v>
      </x:c>
      <x:c r="N54" s="42" t="n">
        <x:v>5</x:v>
      </x:c>
      <x:c r="O54" s="42" t="n">
        <x:v>4</x:v>
      </x:c>
      <x:c r="P54" s="42" t="n">
        <x:v>4</x:v>
      </x:c>
      <x:c r="Q54" s="42" t="n">
        <x:v>4</x:v>
      </x:c>
      <x:c r="R54" s="42" t="n">
        <x:v>5</x:v>
      </x:c>
      <x:c r="S54" s="42" t="n">
        <x:v>4</x:v>
      </x:c>
      <x:c r="T54" s="50" t="n">
        <x:f>IF(COUNT(N54:S54)=6,AVERAGE(N54:S54),"")</x:f>
        <x:v>4.333333333333333</x:v>
      </x:c>
      <x:c r="U54" s="34" t="str">
        <x:v>AI draft note: Clearly explains origin, traceability, inspectable evidence, verification, trust, and detecting fabrication; explicit citation could be mentioned.</x:v>
      </x:c>
      <x:c r="V54" s="52" t="str">
        <x:v>AI draft (Codex/GPT); human review required</x:v>
      </x:c>
      <x:c r="W54" s="54" t="str">
        <x:v>2026-06-29</x:v>
      </x:c>
      <x:c r="X54" s="58" t="str">
        <x:v>AI draft - needs human review</x:v>
      </x:c>
    </x:row>
    <x:row r="55" ht="84" customHeight="1">
      <x:c r="A55" s="34" t="str">
        <x:v>F3-Q009-R1</x:v>
      </x:c>
      <x:c r="B55" s="34" t="str">
        <x:v>F3</x:v>
      </x:c>
      <x:c r="C55" s="34" t="str">
        <x:v>Q009</x:v>
      </x:c>
      <x:c r="D55" s="34" t="str">
        <x:v>1</x:v>
      </x:c>
      <x:c r="E55" s="34" t="str">
        <x:v>D1</x:v>
      </x:c>
      <x:c r="F55" s="34" t="str">
        <x:v>RAG Paper</x:v>
      </x:c>
      <x:c r="G55" s="34" t="str">
        <x:v>explanation</x:v>
      </x:c>
      <x:c r="H55" s="34" t="str">
        <x:v>medium</x:v>
      </x:c>
      <x:c r="I55" s="34" t="str">
        <x:v>one_document</x:v>
      </x:c>
      <x:c r="J55" s="34" t="str">
        <x:v>Why is grounding an answer in retrieved evidence useful for reducing unsupported claims?</x:v>
      </x:c>
      <x:c r="K55" s="34" t="str">
        <x:v>A good answer should explain that retrieved evidence gives the generator relevant factual context and gives the evaluator material to compare against. It should not claim grounding fully eliminates hallucination; it reduces risk when retrieval and generation work correctly.</x:v>
      </x:c>
      <x:c r="L55" s="34" t="str">
        <x:v>D1 Introduction; D1 Results section 4.2; D1 Table 3 discussion</x:v>
      </x:c>
      <x:c r="M55" s="34" t="str">
        <x:v>Grounding an answer in retrieved evidence is useful for reducing unsupported claims because it allows the AI system to evaluate the accuracy of its predictions and classify them as either "supports", "refutes", or "not enough info". This approach ensures that the system's inference is based on evidence rather than subjective assumptions. By using retrieved evidence, the AI can verify the accuracy of its predictions and avoid making unsupported claims. This reduces the risk of statistical errors and ensures that the AI's conclusions are based on reliable data.</x:v>
      </x:c>
      <x:c r="N55" s="42" t="n">
        <x:v>4</x:v>
      </x:c>
      <x:c r="O55" s="42" t="n">
        <x:v>3</x:v>
      </x:c>
      <x:c r="P55" s="42" t="n">
        <x:v>3</x:v>
      </x:c>
      <x:c r="Q55" s="42" t="n">
        <x:v>3</x:v>
      </x:c>
      <x:c r="R55" s="42" t="n">
        <x:v>3</x:v>
      </x:c>
      <x:c r="S55" s="42" t="n">
        <x:v>3</x:v>
      </x:c>
      <x:c r="T55" s="50" t="n">
        <x:f>IF(COUNT(N55:S55)=6,AVERAGE(N55:S55),"")</x:f>
        <x:v>3.1666666666666665</x:v>
      </x:c>
      <x:c r="U55" s="34" t="str">
        <x:v>AI draft note: Explains evidence-based verification, but narrows grounding to classification labels and implies it avoids unsupported claims without acknowledging remaining hallucination risk.</x:v>
      </x:c>
      <x:c r="V55" s="52" t="str">
        <x:v>AI draft (Codex/GPT); human review required</x:v>
      </x:c>
      <x:c r="W55" s="54" t="str">
        <x:v>2026-06-29</x:v>
      </x:c>
      <x:c r="X55" s="58" t="str">
        <x:v>AI draft - needs human review</x:v>
      </x:c>
    </x:row>
    <x:row r="56" ht="84" customHeight="1">
      <x:c r="A56" s="34" t="str">
        <x:v>M4-Q029-R1</x:v>
      </x:c>
      <x:c r="B56" s="34" t="str">
        <x:v>M4</x:v>
      </x:c>
      <x:c r="C56" s="34" t="str">
        <x:v>Q029</x:v>
      </x:c>
      <x:c r="D56" s="34" t="str">
        <x:v>1</x:v>
      </x:c>
      <x:c r="E56" s="34" t="str">
        <x:v>D3</x:v>
      </x:c>
      <x:c r="F56" s="34" t="str">
        <x:v>NIST AI RMF</x:v>
      </x:c>
      <x:c r="G56" s="34" t="str">
        <x:v>comparison</x:v>
      </x:c>
      <x:c r="H56" s="34" t="str">
        <x:v>medium</x:v>
      </x:c>
      <x:c r="I56" s="34" t="str">
        <x:v>one_document</x:v>
      </x:c>
      <x:c r="J56" s="34" t="str">
        <x:v>Why is it useful to separate technical performance from broader trust and governance concerns?</x:v>
      </x:c>
      <x:c r="K56" s="34" t="str">
        <x:v>A good answer should explain that high technical performance does not guarantee transparency, security, fairness, privacy, or accountability. Separating these concepts makes the dissertation recommendation conditional and more defensible.</x:v>
      </x:c>
      <x:c r="L56" s="34" t="str">
        <x:v>D3 AI RMF section 3 trustworthiness; D3 Figure 4 discussion</x:v>
      </x:c>
      <x:c r="M56" s="34" t="str">
        <x:v>It is useful to separate technical performance from broader trust and governance concerns because technical performance is a subset of trustworthiness characteristics. Technical performance includes aspects like accuracy, reliability, and efficiency, which are essential for the functioning of AI systems. However, trustworthiness characteristics encompass a wider range of factors, including accountability, transparency, and social and organizational behavior. These broader characteristics are crucial for ensuring that AI systems are trustworthy and can be trusted by users and stakeholders. By separating technical performance from broader trust and governance concerns, organizations can better understand the context and limitations of their AI systems, identify potential risks, and develop more trustworthy AI systems.</x:v>
      </x:c>
      <x:c r="N56" s="42" t="n">
        <x:v>5</x:v>
      </x:c>
      <x:c r="O56" s="42" t="n">
        <x:v>4</x:v>
      </x:c>
      <x:c r="P56" s="42" t="n">
        <x:v>4</x:v>
      </x:c>
      <x:c r="Q56" s="42" t="n">
        <x:v>4</x:v>
      </x:c>
      <x:c r="R56" s="42" t="n">
        <x:v>5</x:v>
      </x:c>
      <x:c r="S56" s="42" t="n">
        <x:v>4</x:v>
      </x:c>
      <x:c r="T56" s="50" t="n">
        <x:f>IF(COUNT(N56:S56)=6,AVERAGE(N56:S56),"")</x:f>
        <x:v>4.333333333333333</x:v>
      </x:c>
      <x:c r="U56" s="34" t="str">
        <x:v>AI draft note: Correctly separates technical metrics from accountability, transparency, social context, and broader trustworthiness, supporting context-aware recommendations; privacy and security are implicit.</x:v>
      </x:c>
      <x:c r="V56" s="52" t="str">
        <x:v>AI draft (Codex/GPT); human review required</x:v>
      </x:c>
      <x:c r="W56" s="54" t="str">
        <x:v>2026-06-29</x:v>
      </x:c>
      <x:c r="X56" s="58" t="str">
        <x:v>AI draft - needs human review</x:v>
      </x:c>
    </x:row>
    <x:row r="57" ht="84" customHeight="1">
      <x:c r="A57" s="34" t="str">
        <x:v>F3-Q025-R1</x:v>
      </x:c>
      <x:c r="B57" s="34" t="str">
        <x:v>F3</x:v>
      </x:c>
      <x:c r="C57" s="34" t="str">
        <x:v>Q025</x:v>
      </x:c>
      <x:c r="D57" s="34" t="str">
        <x:v>1</x:v>
      </x:c>
      <x:c r="E57" s="34" t="str">
        <x:v>D3</x:v>
      </x:c>
      <x:c r="F57" s="34" t="str">
        <x:v>NIST AI RMF</x:v>
      </x:c>
      <x:c r="G57" s="34" t="str">
        <x:v>comparison</x:v>
      </x:c>
      <x:c r="H57" s="34" t="str">
        <x:v>medium</x:v>
      </x:c>
      <x:c r="I57" s="34" t="str">
        <x:v>one_document</x:v>
      </x:c>
      <x:c r="J57" s="34" t="str">
        <x:v>Why should risks to individuals organisations and society be considered separately?</x:v>
      </x:c>
      <x:c r="K57" s="34" t="str">
        <x:v>A good answer should explain that AI impacts can occur at different levels: individual harms, organisational failures, and wider societal effects. Treating them separately helps avoid reducing risk to only model accuracy or technical performance.</x:v>
      </x:c>
      <x:c r="L57" s="34" t="str">
        <x:v>D3 AI RMF web overview; D3 Executive Summary; D3 Framing Risk</x:v>
      </x:c>
      <x:c r="M57" s="34" t="str">
        <x:v>Risks to individuals, groups, communities, organizations, society, and the environment are considered separately because they are context-specific and application and use-case specific. Risk management involves coordinated activities to direct and control organizations with regard to risk. While organizations or society are highly contextual and application and use-case specific, risks to individuals, groups, communities, organizations, society, and the environment are also context-specific and application and use-case specific.</x:v>
      </x:c>
      <x:c r="N57" s="42" t="n">
        <x:v>3</x:v>
      </x:c>
      <x:c r="O57" s="42" t="n">
        <x:v>3</x:v>
      </x:c>
      <x:c r="P57" s="42" t="n">
        <x:v>3</x:v>
      </x:c>
      <x:c r="Q57" s="42" t="n">
        <x:v>2</x:v>
      </x:c>
      <x:c r="R57" s="42" t="n">
        <x:v>4</x:v>
      </x:c>
      <x:c r="S57" s="42" t="n">
        <x:v>3</x:v>
      </x:c>
      <x:c r="T57" s="50" t="n">
        <x:f>IF(COUNT(N57:S57)=6,AVERAGE(N57:S57),"")</x:f>
        <x:v>3</x:v>
      </x:c>
      <x:c r="U57" s="34" t="str">
        <x:v>AI draft note: Recognises different contextual levels but does not explain distinct individual harms, organisational failures, societal effects, or avoiding accuracy-only risk reduction.</x:v>
      </x:c>
      <x:c r="V57" s="52" t="str">
        <x:v>AI draft (Codex/GPT); human review required</x:v>
      </x:c>
      <x:c r="W57" s="54" t="str">
        <x:v>2026-06-29</x:v>
      </x:c>
      <x:c r="X57" s="58" t="str">
        <x:v>AI draft - needs human review</x:v>
      </x:c>
    </x:row>
    <x:row r="58" ht="84" customHeight="1">
      <x:c r="A58" s="34" t="str">
        <x:v>A7-Q015-R1</x:v>
      </x:c>
      <x:c r="B58" s="34" t="str">
        <x:v>A7</x:v>
      </x:c>
      <x:c r="C58" s="34" t="str">
        <x:v>Q015</x:v>
      </x:c>
      <x:c r="D58" s="34" t="str">
        <x:v>1</x:v>
      </x:c>
      <x:c r="E58" s="34" t="str">
        <x:v>D2</x:v>
      </x:c>
      <x:c r="F58" s="34" t="str">
        <x:v>llama.cpp README</x:v>
      </x:c>
      <x:c r="G58" s="34" t="str">
        <x:v>fact_retrieval</x:v>
      </x:c>
      <x:c r="H58" s="34" t="str">
        <x:v>easy</x:v>
      </x:c>
      <x:c r="I58" s="34" t="str">
        <x:v>one_document</x:v>
      </x:c>
      <x:c r="J58" s="34" t="str">
        <x:v>What is the purpose of running llama-server rather than only a command-line model?</x:v>
      </x:c>
      <x:c r="K58" s="34" t="str">
        <x:v>A good answer should say that llama-server starts a local HTTP server for serving the model, including a web UI and chat completion endpoint, so other applications such as a backend can call it over HTTP.</x:v>
      </x:c>
      <x:c r="L58" s="34" t="str">
        <x:v>D2 README llama-server section</x:v>
      </x:c>
      <x:c r="M58" s="34" t="str">
        <x:v>The purpose of running `llama-server` rather than just a command-line model is to provide a lightweight, OpenAI API compatible HTTP server for serving LLMs. It’s designed to enable LLM inference with minimal setup and state-of-the-art performance across a wide range of devices. It allows you to launch a local HTTP server with default configuration on port 8080, and offers a basic web UI for accessing the model through a browser, chat completion endpoint, and a model conversion tool.</x:v>
      </x:c>
      <x:c r="N58" s="42" t="n">
        <x:v>5</x:v>
      </x:c>
      <x:c r="O58" s="42" t="n">
        <x:v>5</x:v>
      </x:c>
      <x:c r="P58" s="42" t="n">
        <x:v>5</x:v>
      </x:c>
      <x:c r="Q58" s="42" t="n">
        <x:v>5</x:v>
      </x:c>
      <x:c r="R58" s="42" t="n">
        <x:v>5</x:v>
      </x:c>
      <x:c r="S58" s="42" t="n">
        <x:v>5</x:v>
      </x:c>
      <x:c r="T58" s="50" t="n">
        <x:f>IF(COUNT(N58:S58)=6,AVERAGE(N58:S58),"")</x:f>
        <x:v>5</x:v>
      </x:c>
      <x:c r="U58" s="34" t="str">
        <x:v>AI draft note: Directly and accurately explains local HTTP serving, OpenAI-compatible chat endpoint, web UI, port, and application access.</x:v>
      </x:c>
      <x:c r="V58" s="52" t="str">
        <x:v>AI draft (Codex/GPT); human review required</x:v>
      </x:c>
      <x:c r="W58" s="54" t="str">
        <x:v>2026-06-29</x:v>
      </x:c>
      <x:c r="X58" s="58" t="str">
        <x:v>AI draft - needs human review</x:v>
      </x:c>
    </x:row>
    <x:row r="59" ht="84" customHeight="1">
      <x:c r="A59" s="34" t="str">
        <x:v>R9-Q011-R1</x:v>
      </x:c>
      <x:c r="B59" s="34" t="str">
        <x:v>R9</x:v>
      </x:c>
      <x:c r="C59" s="34" t="str">
        <x:v>Q011</x:v>
      </x:c>
      <x:c r="D59" s="34" t="str">
        <x:v>1</x:v>
      </x:c>
      <x:c r="E59" s="34" t="str">
        <x:v>D2</x:v>
      </x:c>
      <x:c r="F59" s="34" t="str">
        <x:v>llama.cpp README</x:v>
      </x:c>
      <x:c r="G59" s="34" t="str">
        <x:v>fact_retrieval</x:v>
      </x:c>
      <x:c r="H59" s="34" t="str">
        <x:v>easy</x:v>
      </x:c>
      <x:c r="I59" s="34" t="str">
        <x:v>one_document</x:v>
      </x:c>
      <x:c r="J59" s="34" t="str">
        <x:v>What is the main purpose of llama.cpp?</x:v>
      </x:c>
      <x:c r="K59" s="34" t="str">
        <x:v>A good answer should state that llama.cpp enables LLM inference in C/C++ with minimal setup and strong performance across local and cloud hardware.</x:v>
      </x:c>
      <x:c r="L59" s="34" t="str">
        <x:v>D2 README title; D2 Description section</x:v>
      </x:c>
      <x:c r="M59" s="34" t="str">
        <x:v>The main purpose of llama.cpp is to enable Large Language Model (LLM) inference with minimal setup and achieve state-of-the-art performance across a broad spectrum of tasks.</x:v>
      </x:c>
      <x:c r="N59" s="42" t="n">
        <x:v>5</x:v>
      </x:c>
      <x:c r="O59" s="42" t="n">
        <x:v>4</x:v>
      </x:c>
      <x:c r="P59" s="42" t="n">
        <x:v>4</x:v>
      </x:c>
      <x:c r="Q59" s="42" t="n">
        <x:v>3</x:v>
      </x:c>
      <x:c r="R59" s="42" t="n">
        <x:v>5</x:v>
      </x:c>
      <x:c r="S59" s="42" t="n">
        <x:v>4</x:v>
      </x:c>
      <x:c r="T59" s="50" t="n">
        <x:f>IF(COUNT(N59:S59)=6,AVERAGE(N59:S59),"")</x:f>
        <x:v>4.166666666666667</x:v>
      </x:c>
      <x:c r="U59" s="34" t="str">
        <x:v>AI draft note: Accurately states minimal-setup high-performance LLM inference, but omits C/C++ and explicit local and cloud hardware scope.</x:v>
      </x:c>
      <x:c r="V59" s="52" t="str">
        <x:v>AI draft (Codex/GPT); human review required</x:v>
      </x:c>
      <x:c r="W59" s="54" t="str">
        <x:v>2026-06-29</x:v>
      </x:c>
      <x:c r="X59" s="58" t="str">
        <x:v>AI draft - needs human review</x:v>
      </x:c>
    </x:row>
    <x:row r="60" ht="84" customHeight="1">
      <x:c r="A60" s="34" t="str">
        <x:v>R9-Q034-R1</x:v>
      </x:c>
      <x:c r="B60" s="34" t="str">
        <x:v>R9</x:v>
      </x:c>
      <x:c r="C60" s="34" t="str">
        <x:v>Q034</x:v>
      </x:c>
      <x:c r="D60" s="34" t="str">
        <x:v>1</x:v>
      </x:c>
      <x:c r="E60" s="34" t="str">
        <x:v>D4</x:v>
      </x:c>
      <x:c r="F60" s="34" t="str">
        <x:v>ICO AI Data Protection Guidance</x:v>
      </x:c>
      <x:c r="G60" s="34" t="str">
        <x:v>explanation</x:v>
      </x:c>
      <x:c r="H60" s="34" t="str">
        <x:v>medium</x:v>
      </x:c>
      <x:c r="I60" s="34" t="str">
        <x:v>one_document</x:v>
      </x:c>
      <x:c r="J60" s="34" t="str">
        <x:v>How do security and data minimisation relate to AI deployment?</x:v>
      </x:c>
      <x:c r="K60" s="34" t="str">
        <x:v>A good answer should state that AI systems can worsen security risks and make data minimisation harder. Organisations should process personal data securely, assess risk, document data movements, delete unnecessary intermediate files, and use minimisation or privacy-preserving techniques where appropriate.</x:v>
      </x:c>
      <x:c r="L60" s="34" t="str">
        <x:v>D4 ICO security and data minimisation chapter</x:v>
      </x:c>
      <x:c r="M60" s="34" t="str">
        <x:v>Security and data minimisation are crucial aspects to consider when deploying AI systems. AI can introduce new security risks and make managing them more challenging. The data minimisation principle aims to reduce the amount of personal data processed, thereby enhancing privacy and security. Techniques for both data minimisation and effective AI development and deployment are presented. This section is aimed at technical professionals associated with security and data minimisation in AI. It explains how AI systems can exacerbate known security risks and presents the challenges for compliance with the data minimisation principle. The section also discusses privacy attacks, steps to manage these risks, and available data minimisation and privacy-preserving techniques for AI systems. Back to top ICO AI and Data Protection - Security and Data Minimisation URL: https://ico.org.uk/for-organisations/uk-gdpr-guidance-and-resources/artificial-intelligence/guidance-on-ai-and-data-protection/how-should-we-assess-security-and-data-minimisation-in-ai/</x:v>
      </x:c>
      <x:c r="N60" s="42" t="n">
        <x:v>4</x:v>
      </x:c>
      <x:c r="O60" s="42" t="n">
        <x:v>4</x:v>
      </x:c>
      <x:c r="P60" s="42" t="n">
        <x:v>4</x:v>
      </x:c>
      <x:c r="Q60" s="42" t="n">
        <x:v>3</x:v>
      </x:c>
      <x:c r="R60" s="42" t="n">
        <x:v>5</x:v>
      </x:c>
      <x:c r="S60" s="42" t="n">
        <x:v>5</x:v>
      </x:c>
      <x:c r="T60" s="50" t="n">
        <x:f>IF(COUNT(N60:S60)=6,AVERAGE(N60:S60),"")</x:f>
        <x:v>4.166666666666667</x:v>
      </x:c>
      <x:c r="U60" s="34" t="str">
        <x:v>AI draft note: Accurately covers increased security risk, minimisation difficulty, attacks, and mitigation, but lacks concrete data-flow documentation and file-deletion controls.</x:v>
      </x:c>
      <x:c r="V60" s="52" t="str">
        <x:v>AI draft (Codex/GPT); human review required</x:v>
      </x:c>
      <x:c r="W60" s="54" t="str">
        <x:v>2026-06-29</x:v>
      </x:c>
      <x:c r="X60" s="58" t="str">
        <x:v>AI draft - needs human review</x:v>
      </x:c>
    </x:row>
    <x:row r="61" ht="84" customHeight="1">
      <x:c r="A61" s="34" t="str">
        <x:v>R9-Q031-R1</x:v>
      </x:c>
      <x:c r="B61" s="34" t="str">
        <x:v>R9</x:v>
      </x:c>
      <x:c r="C61" s="34" t="str">
        <x:v>Q031</x:v>
      </x:c>
      <x:c r="D61" s="34" t="str">
        <x:v>1</x:v>
      </x:c>
      <x:c r="E61" s="34" t="str">
        <x:v>D4</x:v>
      </x:c>
      <x:c r="F61" s="34" t="str">
        <x:v>ICO AI Data Protection Guidance</x:v>
      </x:c>
      <x:c r="G61" s="34" t="str">
        <x:v>explanation</x:v>
      </x:c>
      <x:c r="H61" s="34" t="str">
        <x:v>medium</x:v>
      </x:c>
      <x:c r="I61" s="34" t="str">
        <x:v>one_document</x:v>
      </x:c>
      <x:c r="J61" s="34" t="str">
        <x:v>Why are transparency and explainability important for AI systems that process personal data?</x:v>
      </x:c>
      <x:c r="K61" s="34" t="str">
        <x:v>A good answer should explain that people need clear information about how their personal data is processed, including purposes, retention, and sharing. Transparency helps comply with data protection obligations and supports explainability around AI use.</x:v>
      </x:c>
      <x:c r="L61" s="34" t="str">
        <x:v>D4 ICO transparency chapter</x:v>
      </x:c>
      <x:c r="M61" s="34" t="str">
        <x:v>Transparency and explainability are crucial for AI systems that process personal data because they help ensure that individuals understand how their personal information is being used and processed. This is important for several reasons:
1. **Trust and Confidence**: When individuals know how their data is being used, they are more likely to trust the AI system. This trust is essential for the system to function effectively and for users to feel comfortable with the decisions made by the AI.
2. **Legal Compliance**: Transparency is a legal requirement in many jurisdictions. It helps organizations comply with data protection laws and regulations, such as GDPR, CCPA, and others, which mandate transparency in the processing of personal data.
3. **Fairness and Equity**: By being transparent about how data is processed, organizations can ensure that their AI systems are fair and unbiased. This helps in avoiding discrimination and ensuring that the AI system serves the best interests of all users.
4. **Actionable Redress**: Transparency allows for easier identification and resolution of issues related to AI system outputs. This is crucial for providing users with the ability to understand and correct any mistakes or unfair outcomes.
5. **User Control**: Transparency empowers users to make informed decisions about how their data is used. This includes the ability to opt-out of certain data processing or to request the deletion of their data.
6. **Ethical Considerations**: Transparency helps in addressing ethical concerns related to AI. It allows for discussions and debates about the ethical implications of AI systems, ensuring that the systems are developed and used in a way that aligns with ethical principles.
In summary, transparency and explainability are vital for AI systems that process personal data because they enhance trust, ensure legal compliance, promote fairness, facilitate redress, empower users, address ethical considerations, and improve overall system performance.</x:v>
      </x:c>
      <x:c r="N61" s="42" t="n">
        <x:v>4</x:v>
      </x:c>
      <x:c r="O61" s="42" t="n">
        <x:v>4</x:v>
      </x:c>
      <x:c r="P61" s="42" t="n">
        <x:v>4</x:v>
      </x:c>
      <x:c r="Q61" s="42" t="n">
        <x:v>3</x:v>
      </x:c>
      <x:c r="R61" s="42" t="n">
        <x:v>4</x:v>
      </x:c>
      <x:c r="S61" s="42" t="n">
        <x:v>4</x:v>
      </x:c>
      <x:c r="T61" s="50" t="n">
        <x:f>IF(COUNT(N61:S61)=6,AVERAGE(N61:S61),"")</x:f>
        <x:v>3.8333333333333335</x:v>
      </x:c>
      <x:c r="U61" s="34" t="str">
        <x:v>AI draft note: Strong account of understanding, compliance, fairness, redress, and control, but does not specifically cover purposes, retention, and sharing.</x:v>
      </x:c>
      <x:c r="V61" s="52" t="str">
        <x:v>AI draft (Codex/GPT); human review required</x:v>
      </x:c>
      <x:c r="W61" s="54" t="str">
        <x:v>2026-06-29</x:v>
      </x:c>
      <x:c r="X61" s="58" t="str">
        <x:v>AI draft - needs human review</x:v>
      </x:c>
    </x:row>
    <x:row r="62" ht="84" customHeight="1">
      <x:c r="A62" s="34" t="str">
        <x:v>M4-Q035-R1</x:v>
      </x:c>
      <x:c r="B62" s="34" t="str">
        <x:v>M4</x:v>
      </x:c>
      <x:c r="C62" s="34" t="str">
        <x:v>Q035</x:v>
      </x:c>
      <x:c r="D62" s="34" t="str">
        <x:v>1</x:v>
      </x:c>
      <x:c r="E62" s="34" t="str">
        <x:v>D4</x:v>
      </x:c>
      <x:c r="F62" s="34" t="str">
        <x:v>ICO AI Data Protection Guidance</x:v>
      </x:c>
      <x:c r="G62" s="34" t="str">
        <x:v>boundary_limitation</x:v>
      </x:c>
      <x:c r="H62" s="34" t="str">
        <x:v>hard</x:v>
      </x:c>
      <x:c r="I62" s="34" t="str">
        <x:v>one_document</x:v>
      </x:c>
      <x:c r="J62" s="34" t="str">
        <x:v>What kinds of local risks remain even if a model does not send data to a cloud API?</x:v>
      </x:c>
      <x:c r="K62" s="34" t="str">
        <x:v>A good answer should mention local storage, logs, vector databases, cached files, model outputs, access control, backups, device compromise, insecure dependencies, and possible privacy attacks or leakage from models. It should not claim local equals fully private.</x:v>
      </x:c>
      <x:c r="L62" s="34" t="str">
        <x:v>D4 ICO security and data minimisation chapter; D4 privacy attacks section</x:v>
      </x:c>
      <x:c r="M62" s="34" t="str">
        <x:v>The local risks that remain even if a model does not send data to a cloud API include white box attacks, where the model provider may not be able to monitor the model during deployment and assess and mitigate privacy attacks on it. The model provider is less easily able to monitor the model during deployment and thereby assess and mitigate the risk of privacy attacks on it. However, the model provider remains responsible for assessing and mitigating the risk for genuine end users to know whether or not to rely on its output and will depend on the particular use case and context.</x:v>
      </x:c>
      <x:c r="N62" s="42" t="n">
        <x:v>3</x:v>
      </x:c>
      <x:c r="O62" s="42" t="n">
        <x:v>3</x:v>
      </x:c>
      <x:c r="P62" s="42" t="n">
        <x:v>3</x:v>
      </x:c>
      <x:c r="Q62" s="42" t="n">
        <x:v>1</x:v>
      </x:c>
      <x:c r="R62" s="42" t="n">
        <x:v>4</x:v>
      </x:c>
      <x:c r="S62" s="42" t="n">
        <x:v>3</x:v>
      </x:c>
      <x:c r="T62" s="50" t="n">
        <x:f>IF(COUNT(N62:S62)=6,AVERAGE(N62:S62),"")</x:f>
        <x:v>2.8333333333333335</x:v>
      </x:c>
      <x:c r="U62" s="34" t="str">
        <x:v>AI draft note: Identifies model privacy attacks and monitoring limits, but omits storage, logs, caches, vector databases, access control, backups, dependencies, and device compromise.</x:v>
      </x:c>
      <x:c r="V62" s="52" t="str">
        <x:v>AI draft (Codex/GPT); human review required</x:v>
      </x:c>
      <x:c r="W62" s="54" t="str">
        <x:v>2026-06-29</x:v>
      </x:c>
      <x:c r="X62" s="58" t="str">
        <x:v>AI draft - needs human review</x:v>
      </x:c>
    </x:row>
    <x:row r="63" ht="84" customHeight="1">
      <x:c r="A63" s="34" t="str">
        <x:v>T2-Q011-R1</x:v>
      </x:c>
      <x:c r="B63" s="34" t="str">
        <x:v>T2</x:v>
      </x:c>
      <x:c r="C63" s="34" t="str">
        <x:v>Q011</x:v>
      </x:c>
      <x:c r="D63" s="34" t="str">
        <x:v>1</x:v>
      </x:c>
      <x:c r="E63" s="34" t="str">
        <x:v>D2</x:v>
      </x:c>
      <x:c r="F63" s="34" t="str">
        <x:v>llama.cpp README</x:v>
      </x:c>
      <x:c r="G63" s="34" t="str">
        <x:v>fact_retrieval</x:v>
      </x:c>
      <x:c r="H63" s="34" t="str">
        <x:v>easy</x:v>
      </x:c>
      <x:c r="I63" s="34" t="str">
        <x:v>one_document</x:v>
      </x:c>
      <x:c r="J63" s="34" t="str">
        <x:v>What is the main purpose of llama.cpp?</x:v>
      </x:c>
      <x:c r="K63" s="34" t="str">
        <x:v>A good answer should state that llama.cpp enables LLM inference in C/C++ with minimal setup and strong performance across local and cloud hardware.</x:v>
      </x:c>
      <x:c r="L63" s="34" t="str">
        <x:v>D2 README title; D2 Description section</x:v>
      </x:c>
      <x:c r="M63" s="34" t="str">
        <x:v>The main purpose of llama.cpp is to enable Large Language Models (LLMs) inference with minimal setup and state-of-the-art performance on a wide range of tools.</x:v>
      </x:c>
      <x:c r="N63" s="42" t="n">
        <x:v>5</x:v>
      </x:c>
      <x:c r="O63" s="42" t="n">
        <x:v>4</x:v>
      </x:c>
      <x:c r="P63" s="42" t="n">
        <x:v>4</x:v>
      </x:c>
      <x:c r="Q63" s="42" t="n">
        <x:v>3</x:v>
      </x:c>
      <x:c r="R63" s="42" t="n">
        <x:v>5</x:v>
      </x:c>
      <x:c r="S63" s="42" t="n">
        <x:v>4</x:v>
      </x:c>
      <x:c r="T63" s="50" t="n">
        <x:f>IF(COUNT(N63:S63)=6,AVERAGE(N63:S63),"")</x:f>
        <x:v>4.166666666666667</x:v>
      </x:c>
      <x:c r="U63" s="34" t="str">
        <x:v>AI draft note: Accurate core purpose, but omits C/C++ and explicit local/cloud hardware support.</x:v>
      </x:c>
      <x:c r="V63" s="52" t="str">
        <x:v>AI draft (Codex/GPT); human review required</x:v>
      </x:c>
      <x:c r="W63" s="54" t="str">
        <x:v>2026-06-29</x:v>
      </x:c>
      <x:c r="X63" s="58" t="str">
        <x:v>AI draft - needs human review</x:v>
      </x:c>
    </x:row>
    <x:row r="64" ht="84" customHeight="1">
      <x:c r="A64" s="34" t="str">
        <x:v>R9-Q029-R1</x:v>
      </x:c>
      <x:c r="B64" s="34" t="str">
        <x:v>R9</x:v>
      </x:c>
      <x:c r="C64" s="34" t="str">
        <x:v>Q029</x:v>
      </x:c>
      <x:c r="D64" s="34" t="str">
        <x:v>1</x:v>
      </x:c>
      <x:c r="E64" s="34" t="str">
        <x:v>D3</x:v>
      </x:c>
      <x:c r="F64" s="34" t="str">
        <x:v>NIST AI RMF</x:v>
      </x:c>
      <x:c r="G64" s="34" t="str">
        <x:v>comparison</x:v>
      </x:c>
      <x:c r="H64" s="34" t="str">
        <x:v>medium</x:v>
      </x:c>
      <x:c r="I64" s="34" t="str">
        <x:v>one_document</x:v>
      </x:c>
      <x:c r="J64" s="34" t="str">
        <x:v>Why is it useful to separate technical performance from broader trust and governance concerns?</x:v>
      </x:c>
      <x:c r="K64" s="34" t="str">
        <x:v>A good answer should explain that high technical performance does not guarantee transparency, security, fairness, privacy, or accountability. Separating these concepts makes the dissertation recommendation conditional and more defensible.</x:v>
      </x:c>
      <x:c r="L64" s="34" t="str">
        <x:v>D3 AI RMF section 3 trustworthiness; D3 Figure 4 discussion</x:v>
      </x:c>
      <x:c r="M64" s="34" t="str">
        <x:v>It is useful to separate technical performance from broader trust and governance concerns because technical performance alone does not fully capture the complexity of AI systems. Technical performance metrics, such as accuracy and speed, are important, but they do not address the broader aspects of AI, such as social and organizational behavior, the datasets used by AI systems, the selection of AI models and algorithms, and the decisions made by those who build them. These broader aspects are crucial for ensuring the trustworthiness and ethical use of AI systems. By separating technical performance from these broader concerns, organizations can better understand the context in which AI systems operate, identify potential risks, and develop more trustworthy AI systems.</x:v>
      </x:c>
      <x:c r="N64" s="42" t="n">
        <x:v>5</x:v>
      </x:c>
      <x:c r="O64" s="42" t="n">
        <x:v>4</x:v>
      </x:c>
      <x:c r="P64" s="42" t="n">
        <x:v>4</x:v>
      </x:c>
      <x:c r="Q64" s="42" t="n">
        <x:v>4</x:v>
      </x:c>
      <x:c r="R64" s="42" t="n">
        <x:v>5</x:v>
      </x:c>
      <x:c r="S64" s="42" t="n">
        <x:v>4</x:v>
      </x:c>
      <x:c r="T64" s="50" t="n">
        <x:f>IF(COUNT(N64:S64)=6,AVERAGE(N64:S64),"")</x:f>
        <x:v>4.333333333333333</x:v>
      </x:c>
      <x:c r="U64" s="34" t="str">
        <x:v>AI draft note: Clearly separates technical metrics from social, organisational, data, and decision concerns; privacy and accountability could be named more directly.</x:v>
      </x:c>
      <x:c r="V64" s="52" t="str">
        <x:v>AI draft (Codex/GPT); human review required</x:v>
      </x:c>
      <x:c r="W64" s="54" t="str">
        <x:v>2026-06-29</x:v>
      </x:c>
      <x:c r="X64" s="58" t="str">
        <x:v>AI draft - needs human review</x:v>
      </x:c>
    </x:row>
    <x:row r="65" ht="84" customHeight="1">
      <x:c r="A65" s="34" t="str">
        <x:v>K8-Q027-R1</x:v>
      </x:c>
      <x:c r="B65" s="34" t="str">
        <x:v>K8</x:v>
      </x:c>
      <x:c r="C65" s="34" t="str">
        <x:v>Q027</x:v>
      </x:c>
      <x:c r="D65" s="34" t="str">
        <x:v>1</x:v>
      </x:c>
      <x:c r="E65" s="34" t="str">
        <x:v>D3</x:v>
      </x:c>
      <x:c r="F65" s="34" t="str">
        <x:v>NIST AI RMF</x:v>
      </x:c>
      <x:c r="G65" s="34" t="str">
        <x:v>boundary_limitation</x:v>
      </x:c>
      <x:c r="H65" s="34" t="str">
        <x:v>hard</x:v>
      </x:c>
      <x:c r="I65" s="34" t="str">
        <x:v>one_document</x:v>
      </x:c>
      <x:c r="J65" s="34" t="str">
        <x:v>Why should an AI system be evaluated for limitations as well as capabilities?</x:v>
      </x:c>
      <x:c r="K65" s="34" t="str">
        <x:v>A good answer should explain that risk depends on context, uncertainty, negative impacts, and limitations, not only successful outputs. Evaluating limitations helps avoid overclaiming and supports responsible deployment decisions.</x:v>
      </x:c>
      <x:c r="L65" s="34" t="str">
        <x:v>D3 AI RMF Framing Risk; D3 Challenges for AI Risk Management; D3 Human-AI Interaction appendix</x:v>
      </x:c>
      <x:c r="M65" s="34" t="str">
        <x:v>The context provided indicates that AI systems should be evaluated for their limitations as well as their capabilities because while AI systems are designed to perform tasks effectively, they may also be used in unexpected ways that could potentially lead to negative impacts. It is important to consider that humans may assume AI systems are more objective and have greater capabilities than general software, and that ongoing testing or monitoring is often used to confirm that a system is performing as intended. Therefore, it is important to evaluate AI systems for their limitations as well as their capabilities to ensure that they are functioning as intended and not leading to unintended negative impacts. This is especially relevant for the MAP function, which is used to inform initial go/no-go decisions.</x:v>
      </x:c>
      <x:c r="N65" s="42" t="n">
        <x:v>4</x:v>
      </x:c>
      <x:c r="O65" s="42" t="n">
        <x:v>4</x:v>
      </x:c>
      <x:c r="P65" s="42" t="n">
        <x:v>4</x:v>
      </x:c>
      <x:c r="Q65" s="42" t="n">
        <x:v>4</x:v>
      </x:c>
      <x:c r="R65" s="42" t="n">
        <x:v>5</x:v>
      </x:c>
      <x:c r="S65" s="42" t="n">
        <x:v>4</x:v>
      </x:c>
      <x:c r="T65" s="50" t="n">
        <x:f>IF(COUNT(N65:S65)=6,AVERAGE(N65:S65),"")</x:f>
        <x:v>4.166666666666667</x:v>
      </x:c>
      <x:c r="U65" s="34" t="str">
        <x:v>AI draft note: Covers unintended impacts, overestimating capability, monitoring, and responsible go/no-go decisions; uncertainty and context dependence are implicit.</x:v>
      </x:c>
      <x:c r="V65" s="52" t="str">
        <x:v>AI draft (Codex/GPT); human review required</x:v>
      </x:c>
      <x:c r="W65" s="54" t="str">
        <x:v>2026-06-29</x:v>
      </x:c>
      <x:c r="X65" s="58" t="str">
        <x:v>AI draft - needs human review</x:v>
      </x:c>
    </x:row>
    <x:row r="66" ht="84" customHeight="1">
      <x:c r="A66" s="34" t="str">
        <x:v>T2-Q012-R1</x:v>
      </x:c>
      <x:c r="B66" s="34" t="str">
        <x:v>T2</x:v>
      </x:c>
      <x:c r="C66" s="34" t="str">
        <x:v>Q012</x:v>
      </x:c>
      <x:c r="D66" s="34" t="str">
        <x:v>1</x:v>
      </x:c>
      <x:c r="E66" s="34" t="str">
        <x:v>D2</x:v>
      </x:c>
      <x:c r="F66" s="34" t="str">
        <x:v>llama.cpp README</x:v>
      </x:c>
      <x:c r="G66" s="34" t="str">
        <x:v>explanation</x:v>
      </x:c>
      <x:c r="H66" s="34" t="str">
        <x:v>medium</x:v>
      </x:c>
      <x:c r="I66" s="34" t="str">
        <x:v>one_document</x:v>
      </x:c>
      <x:c r="J66" s="34" t="str">
        <x:v>Why is llama.cpp relevant for local or on-device language model deployment?</x:v>
      </x:c>
      <x:c r="K66" s="34" t="str">
        <x:v>A good answer should explain that llama.cpp runs models locally, supports many CPU/GPU backends, works with quantised GGUF models, and exposes tools such as llama-cli and llama-server. This makes it practical for a laptop-based local benchmark.</x:v>
      </x:c>
      <x:c r="L66" s="34" t="str">
        <x:v>D2 README Quick start; D2 Description; D2 hardware/backend bullets</x:v>
      </x:c>
      <x:c r="M66" s="34" t="str">
        <x:v>Llama.cpp is relevant for local or on-device language model deployment because it enables minimal setup, state-of-the-art performance, and supports a wide range of tools. Here's a rephrased and combined version of the retrieved context:
Llama.cpp is a powerful tool for language model inference that offers several benefits for local or on-device deployment. By utilizing this tool, developers can achieve minimal setup, high performance, and support for various tools, making it an ideal choice for on-device language model deployment.
The main advantages of using Llama.cpp include:
1. **Minimal setup**: Llama.cpp allows developers to deploy their models locally without requiring extensive setup or infrastructure.
2. **State-of-the-art performance**: This tool provides high-performance language model inference, making it suitable for demanding applications.
3. **Support for a wide range of tools**: Llama.cpp supports a variety of tools, including those from Hugging Face, OpenAI, and NVIDIA, which can be beneficial for developers who need to integrate multiple services.
Overall, Llama.cpp is a valuable tool for local or on-device language model deployment, offering a range of benefits that make it an attractive choice for developers and organizations.</x:v>
      </x:c>
      <x:c r="N66" s="42" t="n">
        <x:v>4</x:v>
      </x:c>
      <x:c r="O66" s="42" t="n">
        <x:v>4</x:v>
      </x:c>
      <x:c r="P66" s="42" t="n">
        <x:v>4</x:v>
      </x:c>
      <x:c r="Q66" s="42" t="n">
        <x:v>3</x:v>
      </x:c>
      <x:c r="R66" s="42" t="n">
        <x:v>4</x:v>
      </x:c>
      <x:c r="S66" s="42" t="n">
        <x:v>4</x:v>
      </x:c>
      <x:c r="T66" s="50" t="n">
        <x:f>IF(COUNT(N66:S66)=6,AVERAGE(N66:S66),"")</x:f>
        <x:v>3.8333333333333335</x:v>
      </x:c>
      <x:c r="U66" s="34" t="str">
        <x:v>AI draft note: Explains local practicality and performance, but the visible answer under-specifies GGUF, quantisation, backend breadth, and client/server tools.</x:v>
      </x:c>
      <x:c r="V66" s="52" t="str">
        <x:v>AI draft (Codex/GPT); human review required</x:v>
      </x:c>
      <x:c r="W66" s="54" t="str">
        <x:v>2026-06-29</x:v>
      </x:c>
      <x:c r="X66" s="58" t="str">
        <x:v>AI draft - needs human review</x:v>
      </x:c>
    </x:row>
    <x:row r="67" ht="84" customHeight="1">
      <x:c r="A67" s="34" t="str">
        <x:v>R9-Q019-R1</x:v>
      </x:c>
      <x:c r="B67" s="34" t="str">
        <x:v>R9</x:v>
      </x:c>
      <x:c r="C67" s="34" t="str">
        <x:v>Q019</x:v>
      </x:c>
      <x:c r="D67" s="34" t="str">
        <x:v>1</x:v>
      </x:c>
      <x:c r="E67" s="34" t="str">
        <x:v>D2</x:v>
      </x:c>
      <x:c r="F67" s="34" t="str">
        <x:v>llama.cpp README</x:v>
      </x:c>
      <x:c r="G67" s="34" t="str">
        <x:v>explanation</x:v>
      </x:c>
      <x:c r="H67" s="34" t="str">
        <x:v>medium</x:v>
      </x:c>
      <x:c r="I67" s="34" t="str">
        <x:v>one_document</x:v>
      </x:c>
      <x:c r="J67" s="34" t="str">
        <x:v>Why might a lightweight runtime matter for a laptop-based dissertation benchmark?</x:v>
      </x:c>
      <x:c r="K67" s="34" t="str">
        <x:v>A good answer should explain that a lightweight runtime with minimal setup and quantisation support makes repeated local experiments feasible on limited laptop hardware. It helps control deployment practicality as part of the benchmark.</x:v>
      </x:c>
      <x:c r="L67" s="34" t="str">
        <x:v>D2 README Quick start; D2 Description</x:v>
      </x:c>
      <x:c r="M67" s="34" t="str">
        <x:v>A lightweight runtime is important for a laptop-based dissertation benchmark because it allows the system to run efficiently on a personal computer, ensuring that the benchmark can be completed within a reasonable timeframe. This is crucial for maintaining focus and productivity during the dissertation process, especially when working on a laptop with limited resources.</x:v>
      </x:c>
      <x:c r="N67" s="42" t="n">
        <x:v>4</x:v>
      </x:c>
      <x:c r="O67" s="42" t="n">
        <x:v>3</x:v>
      </x:c>
      <x:c r="P67" s="42" t="n">
        <x:v>3</x:v>
      </x:c>
      <x:c r="Q67" s="42" t="n">
        <x:v>2</x:v>
      </x:c>
      <x:c r="R67" s="42" t="n">
        <x:v>5</x:v>
      </x:c>
      <x:c r="S67" s="42" t="n">
        <x:v>3</x:v>
      </x:c>
      <x:c r="T67" s="50" t="n">
        <x:f>IF(COUNT(N67:S67)=6,AVERAGE(N67:S67),"")</x:f>
        <x:v>3.3333333333333335</x:v>
      </x:c>
      <x:c r="U67" s="34" t="str">
        <x:v>AI draft note: Correctly links lightweight execution to laptop constraints and feasible runtime, but omits minimal setup, quantisation, repeated experiments, and deployment control.</x:v>
      </x:c>
      <x:c r="V67" s="52" t="str">
        <x:v>AI draft (Codex/GPT); human review required</x:v>
      </x:c>
      <x:c r="W67" s="54" t="str">
        <x:v>2026-06-29</x:v>
      </x:c>
      <x:c r="X67" s="58" t="str">
        <x:v>AI draft - needs human review</x:v>
      </x:c>
    </x:row>
    <x:row r="68" ht="84" customHeight="1">
      <x:c r="A68" s="34" t="str">
        <x:v>A7-Q014-R1</x:v>
      </x:c>
      <x:c r="B68" s="34" t="str">
        <x:v>A7</x:v>
      </x:c>
      <x:c r="C68" s="34" t="str">
        <x:v>Q014</x:v>
      </x:c>
      <x:c r="D68" s="34" t="str">
        <x:v>1</x:v>
      </x:c>
      <x:c r="E68" s="34" t="str">
        <x:v>D2</x:v>
      </x:c>
      <x:c r="F68" s="34" t="str">
        <x:v>llama.cpp README</x:v>
      </x:c>
      <x:c r="G68" s="34" t="str">
        <x:v>explanation</x:v>
      </x:c>
      <x:c r="H68" s="34" t="str">
        <x:v>medium</x:v>
      </x:c>
      <x:c r="I68" s="34" t="str">
        <x:v>one_document</x:v>
      </x:c>
      <x:c r="J68" s="34" t="str">
        <x:v>How does quantisation support faster inference or lower memory use?</x:v>
      </x:c>
      <x:c r="K68" s="34" t="str">
        <x:v>A good answer should explain that quantisation stores model weights with fewer bits, such as 4-bit or 8-bit integers, reducing memory use and often improving inference speed. It should also note that quality may change, so it must be benchmarked.</x:v>
      </x:c>
      <x:c r="L68" s="34" t="str">
        <x:v>D2 README Description quantisation bullet; D2 quantisation documentation reference</x:v>
      </x:c>
      <x:c r="M68" s="34" t="str">
        <x:v>Quantization is a key technique used to improve LLM inference speed and reduce memory footprint. It involves reducing the precision of the numbers used to represent the model's weights and activations. Specifically, it’s implemented in various bit depths – 1.5-bit, 2-bit, 3-bit, 4-bit, 5-bit, 6-bit, and 8-bit – which allows for faster processing and reduced memory requirements.
Here’s a breakdown of how it achieves this:
*   **Faster Inference:** Lower bit depths require less computation, leading to quicker model execution.
*   **Reduced Memory Use:** By using fewer bits per value, the model’s memory footprint is significantly reduced, allowing for larger models to run on devices with limited memory.
Essentially, quantisation transforms the model into a more compact representation, enabling it to perform better with less computational power.</x:v>
      </x:c>
      <x:c r="N68" s="42" t="n">
        <x:v>5</x:v>
      </x:c>
      <x:c r="O68" s="42" t="n">
        <x:v>5</x:v>
      </x:c>
      <x:c r="P68" s="42" t="n">
        <x:v>4</x:v>
      </x:c>
      <x:c r="Q68" s="42" t="n">
        <x:v>4</x:v>
      </x:c>
      <x:c r="R68" s="42" t="n">
        <x:v>5</x:v>
      </x:c>
      <x:c r="S68" s="42" t="n">
        <x:v>4</x:v>
      </x:c>
      <x:c r="T68" s="50" t="n">
        <x:f>IF(COUNT(N68:S68)=6,AVERAGE(N68:S68),"")</x:f>
        <x:v>4.5</x:v>
      </x:c>
      <x:c r="U68" s="34" t="str">
        <x:v>AI draft note: Correctly explains reduced precision, fewer bits, faster processing, and lower memory; it omits the required possible quality loss and benchmarking caveat.</x:v>
      </x:c>
      <x:c r="V68" s="52" t="str">
        <x:v>AI draft (Codex/GPT); human review required</x:v>
      </x:c>
      <x:c r="W68" s="54" t="str">
        <x:v>2026-06-29</x:v>
      </x:c>
      <x:c r="X68" s="58" t="str">
        <x:v>AI draft - needs human review</x:v>
      </x:c>
    </x:row>
    <x:row r="69" ht="84" customHeight="1">
      <x:c r="A69" s="34" t="str">
        <x:v>F3-Q016-R1</x:v>
      </x:c>
      <x:c r="B69" s="34" t="str">
        <x:v>F3</x:v>
      </x:c>
      <x:c r="C69" s="34" t="str">
        <x:v>Q016</x:v>
      </x:c>
      <x:c r="D69" s="34" t="str">
        <x:v>1</x:v>
      </x:c>
      <x:c r="E69" s="34" t="str">
        <x:v>D2</x:v>
      </x:c>
      <x:c r="F69" s="34" t="str">
        <x:v>llama.cpp README</x:v>
      </x:c>
      <x:c r="G69" s="34" t="str">
        <x:v>explanation</x:v>
      </x:c>
      <x:c r="H69" s="34" t="str">
        <x:v>medium</x:v>
      </x:c>
      <x:c r="I69" s="34" t="str">
        <x:v>one_document</x:v>
      </x:c>
      <x:c r="J69" s="34" t="str">
        <x:v>Why is an OpenAI-compatible endpoint useful for this project?</x:v>
      </x:c>
      <x:c r="K69" s="34" t="str">
        <x:v>A good answer should explain that an OpenAI-compatible chat-completions endpoint lets the FastAPI backend call a local model using a familiar API style, reducing changes needed in the RAG app while avoiding a cloud API call.</x:v>
      </x:c>
      <x:c r="L69" s="34" t="str">
        <x:v>D2 README llama-server section; project architecture context</x:v>
      </x:c>
      <x:c r="M69" s="34" t="str">
        <x:v>An OpenAI-compatible endpoint is useful for this project because it allows for seamless integration with the open-source machine learning frameworks and code libraries. The project relies on third-party frameworks and code libraries, which are often open-source and can be used to develop AI systems. By using an OpenAI-compatible endpoint, the team can leverage the rich ecosystem of contributors and services built up around existing frameworks. This allows for a more efficient and effective development process, as the team can benefit from the existing code and infrastructure without having to reinvent the wheel. Additionally, the use of an OpenAI-compatible endpoint can help to reduce the risk of dependencies on other pieces of software being already installed on an IT system, which can be a significant challenge for developing AI systems.</x:v>
      </x:c>
      <x:c r="N69" s="42" t="n">
        <x:v>2</x:v>
      </x:c>
      <x:c r="O69" s="42" t="n">
        <x:v>1</x:v>
      </x:c>
      <x:c r="P69" s="42" t="n">
        <x:v>1</x:v>
      </x:c>
      <x:c r="Q69" s="42" t="n">
        <x:v>1</x:v>
      </x:c>
      <x:c r="R69" s="42" t="n">
        <x:v>2</x:v>
      </x:c>
      <x:c r="S69" s="42" t="n">
        <x:v>1</x:v>
      </x:c>
      <x:c r="T69" s="50" t="n">
        <x:f>IF(COUNT(N69:S69)=6,AVERAGE(N69:S69),"")</x:f>
        <x:v>1.3333333333333333</x:v>
      </x:c>
      <x:c r="U69" s="34" t="str">
        <x:v>AI draft note: Discusses generic framework integration rather than a local chat-completions API, reduced application changes, and avoiding cloud calls.</x:v>
      </x:c>
      <x:c r="V69" s="52" t="str">
        <x:v>AI draft (Codex/GPT); human review required</x:v>
      </x:c>
      <x:c r="W69" s="54" t="str">
        <x:v>2026-06-29</x:v>
      </x:c>
      <x:c r="X69" s="58" t="str">
        <x:v>AI draft - needs human review</x:v>
      </x:c>
    </x:row>
    <x:row r="70" ht="84" customHeight="1">
      <x:c r="A70" s="34" t="str">
        <x:v>A7-Q016-R1</x:v>
      </x:c>
      <x:c r="B70" s="34" t="str">
        <x:v>A7</x:v>
      </x:c>
      <x:c r="C70" s="34" t="str">
        <x:v>Q016</x:v>
      </x:c>
      <x:c r="D70" s="34" t="str">
        <x:v>1</x:v>
      </x:c>
      <x:c r="E70" s="34" t="str">
        <x:v>D2</x:v>
      </x:c>
      <x:c r="F70" s="34" t="str">
        <x:v>llama.cpp README</x:v>
      </x:c>
      <x:c r="G70" s="34" t="str">
        <x:v>explanation</x:v>
      </x:c>
      <x:c r="H70" s="34" t="str">
        <x:v>medium</x:v>
      </x:c>
      <x:c r="I70" s="34" t="str">
        <x:v>one_document</x:v>
      </x:c>
      <x:c r="J70" s="34" t="str">
        <x:v>Why is an OpenAI-compatible endpoint useful for this project?</x:v>
      </x:c>
      <x:c r="K70" s="34" t="str">
        <x:v>A good answer should explain that an OpenAI-compatible chat-completions endpoint lets the FastAPI backend call a local model using a familiar API style, reducing changes needed in the RAG app while avoiding a cloud API call.</x:v>
      </x:c>
      <x:c r="L70" s="34" t="str">
        <x:v>D2 README llama-server section; project architecture context</x:v>
      </x:c>
      <x:c r="M70" s="34" t="str">
        <x:v>Okay, let’s break down why an OpenAI-compatible endpoint would be useful for this project.
Based on the context, an OpenAI-compatible endpoint is valuable because it allows the project to leverage the power of OpenAI’s models. Specifically, it enables the project to:
*   **Easily integrate with OpenAI’s models:** It provides a standardized way to interact with OpenAI’s models, simplifying the development process.
*   **Benefit from the rich ecosystem of contributors and services:** The project is designed to utilize the extensive community and support offered by OpenAI, including libraries, tools, and services.
*   **Utilize pre-built Mobile and Web platform wrappers:** This reduces development time and effort by providing ready-to-use components for deploying the model.
*   **Leverage a model example:** The project includes a model example, which is a significant benefit for testing and demonstration purposes.
Essentially, it’s a way to quickly and efficiently integrate with OpenAI’s models without having to build everything from scratch.
</x:v>
      </x:c>
      <x:c r="N70" s="42" t="n">
        <x:v>2</x:v>
      </x:c>
      <x:c r="O70" s="42" t="n">
        <x:v>1</x:v>
      </x:c>
      <x:c r="P70" s="42" t="n">
        <x:v>1</x:v>
      </x:c>
      <x:c r="Q70" s="42" t="n">
        <x:v>1</x:v>
      </x:c>
      <x:c r="R70" s="42" t="n">
        <x:v>1</x:v>
      </x:c>
      <x:c r="S70" s="42" t="n">
        <x:v>1</x:v>
      </x:c>
      <x:c r="T70" s="50" t="n">
        <x:f>IF(COUNT(N70:S70)=6,AVERAGE(N70:S70),"")</x:f>
        <x:v>1.1666666666666667</x:v>
      </x:c>
      <x:c r="U70" s="34" t="str">
        <x:v>AI draft note: Mistakenly frames compatibility as access to OpenAI models and services, missing the local API replacement purpose.</x:v>
      </x:c>
      <x:c r="V70" s="52" t="str">
        <x:v>AI draft (Codex/GPT); human review required</x:v>
      </x:c>
      <x:c r="W70" s="54" t="str">
        <x:v>2026-06-29</x:v>
      </x:c>
      <x:c r="X70" s="58" t="str">
        <x:v>AI draft - needs human review</x:v>
      </x:c>
    </x:row>
    <x:row r="71" ht="84" customHeight="1">
      <x:c r="A71" s="34" t="str">
        <x:v>M4-Q040-R1</x:v>
      </x:c>
      <x:c r="B71" s="34" t="str">
        <x:v>M4</x:v>
      </x:c>
      <x:c r="C71" s="34" t="str">
        <x:v>Q040</x:v>
      </x:c>
      <x:c r="D71" s="34" t="str">
        <x:v>1</x:v>
      </x:c>
      <x:c r="E71" s="34" t="str">
        <x:v>D1+D2+D3+D4</x:v>
      </x:c>
      <x:c r="F71" s="34" t="str">
        <x:v>Multiple Sources</x:v>
      </x:c>
      <x:c r="G71" s="34" t="str">
        <x:v>source_grounded_synthesis</x:v>
      </x:c>
      <x:c r="H71" s="34" t="str">
        <x:v>hard</x:v>
      </x:c>
      <x:c r="I71" s="34" t="str">
        <x:v>multiple_documents</x:v>
      </x:c>
      <x:c r="J71" s="34" t="str">
        <x:v>Based on the source documents why should the dissertation conclusion be a conditional recommendation rather than a single universal winner?</x:v>
      </x:c>
      <x:c r="K71" s="34" t="str">
        <x:v>A good answer should synthesise that RAG improves grounding, llama.cpp enables local deployment and quantisation, NIST frames broader risk/trustworthiness, and ICO shows remaining data protection duties. Therefore the best configuration depends on priorities such as quality, speed, memory, practicality, and privacy risk, rather than one universal winner.</x:v>
      </x:c>
      <x:c r="L71" s="34" t="str">
        <x:v>D1 RAG motivation; D2 local inference and quantisation; D3 trustworthiness/risk management; D4 data protection obligations</x:v>
      </x:c>
      <x:c r="M71" s="34" t="str">
        <x:v>The dissertation conclusion should be a conditional recommendation rather than a single universal winner because it allows for flexibility and consideration of various factors. This approach is more realistic and practical, as it acknowledges that different situations may require different approaches or recommendations.</x:v>
      </x:c>
      <x:c r="N71" s="42" t="n">
        <x:v>3</x:v>
      </x:c>
      <x:c r="O71" s="42" t="n">
        <x:v>3</x:v>
      </x:c>
      <x:c r="P71" s="42" t="n">
        <x:v>2</x:v>
      </x:c>
      <x:c r="Q71" s="42" t="n">
        <x:v>1</x:v>
      </x:c>
      <x:c r="R71" s="42" t="n">
        <x:v>5</x:v>
      </x:c>
      <x:c r="S71" s="42" t="n">
        <x:v>2</x:v>
      </x:c>
      <x:c r="T71" s="50" t="n">
        <x:f>IF(COUNT(N71:S71)=6,AVERAGE(N71:S71),"")</x:f>
        <x:v>2.6666666666666665</x:v>
      </x:c>
      <x:c r="U71" s="34" t="str">
        <x:v>AI draft note: Correct general idea that recommendations depend on circumstances, but provides none of the required RAG, runtime, risk, privacy, or resource synthesis.</x:v>
      </x:c>
      <x:c r="V71" s="52" t="str">
        <x:v>AI draft (Codex/GPT); human review required</x:v>
      </x:c>
      <x:c r="W71" s="54" t="str">
        <x:v>2026-06-29</x:v>
      </x:c>
      <x:c r="X71" s="58" t="str">
        <x:v>AI draft - needs human review</x:v>
      </x:c>
    </x:row>
    <x:row r="72" ht="84" customHeight="1">
      <x:c r="A72" s="34" t="str">
        <x:v>R9-Q012-R1</x:v>
      </x:c>
      <x:c r="B72" s="34" t="str">
        <x:v>R9</x:v>
      </x:c>
      <x:c r="C72" s="34" t="str">
        <x:v>Q012</x:v>
      </x:c>
      <x:c r="D72" s="34" t="str">
        <x:v>1</x:v>
      </x:c>
      <x:c r="E72" s="34" t="str">
        <x:v>D2</x:v>
      </x:c>
      <x:c r="F72" s="34" t="str">
        <x:v>llama.cpp README</x:v>
      </x:c>
      <x:c r="G72" s="34" t="str">
        <x:v>explanation</x:v>
      </x:c>
      <x:c r="H72" s="34" t="str">
        <x:v>medium</x:v>
      </x:c>
      <x:c r="I72" s="34" t="str">
        <x:v>one_document</x:v>
      </x:c>
      <x:c r="J72" s="34" t="str">
        <x:v>Why is llama.cpp relevant for local or on-device language model deployment?</x:v>
      </x:c>
      <x:c r="K72" s="34" t="str">
        <x:v>A good answer should explain that llama.cpp runs models locally, supports many CPU/GPU backends, works with quantised GGUF models, and exposes tools such as llama-cli and llama-server. This makes it practical for a laptop-based local benchmark.</x:v>
      </x:c>
      <x:c r="L72" s="34" t="str">
        <x:v>D2 README Quick start; D2 Description; D2 hardware/backend bullets</x:v>
      </x:c>
      <x:c r="M72" s="34" t="str">
        <x:v>LLama.cpp is relevant for local or on-device language model deployment because it simplifies the setup and provides state-of-the-art performance across a wide range of tasks. The main goal of llama.cpp is to enable efficient inference with minimal setup, making it accessible for various applications and environments.</x:v>
      </x:c>
      <x:c r="N72" s="42" t="n">
        <x:v>4</x:v>
      </x:c>
      <x:c r="O72" s="42" t="n">
        <x:v>4</x:v>
      </x:c>
      <x:c r="P72" s="42" t="n">
        <x:v>4</x:v>
      </x:c>
      <x:c r="Q72" s="42" t="n">
        <x:v>2</x:v>
      </x:c>
      <x:c r="R72" s="42" t="n">
        <x:v>5</x:v>
      </x:c>
      <x:c r="S72" s="42" t="n">
        <x:v>4</x:v>
      </x:c>
      <x:c r="T72" s="50" t="n">
        <x:f>IF(COUNT(N72:S72)=6,AVERAGE(N72:S72),"")</x:f>
        <x:v>3.8333333333333335</x:v>
      </x:c>
      <x:c r="U72" s="34" t="str">
        <x:v>AI draft note: Accurate minimal-setup local inference explanation, but omits quantised GGUF, hardware backends, llama-cli, and llama-server.</x:v>
      </x:c>
      <x:c r="V72" s="52" t="str">
        <x:v>AI draft (Codex/GPT); human review required</x:v>
      </x:c>
      <x:c r="W72" s="54" t="str">
        <x:v>2026-06-29</x:v>
      </x:c>
      <x:c r="X72" s="58" t="str">
        <x:v>AI draft - needs human review</x:v>
      </x:c>
    </x:row>
    <x:row r="73" ht="84" customHeight="1">
      <x:c r="A73" s="34" t="str">
        <x:v>R9-Q018-R1</x:v>
      </x:c>
      <x:c r="B73" s="34" t="str">
        <x:v>R9</x:v>
      </x:c>
      <x:c r="C73" s="34" t="str">
        <x:v>Q018</x:v>
      </x:c>
      <x:c r="D73" s="34" t="str">
        <x:v>1</x:v>
      </x:c>
      <x:c r="E73" s="34" t="str">
        <x:v>D2</x:v>
      </x:c>
      <x:c r="F73" s="34" t="str">
        <x:v>llama.cpp README</x:v>
      </x:c>
      <x:c r="G73" s="34" t="str">
        <x:v>explanation</x:v>
      </x:c>
      <x:c r="H73" s="34" t="str">
        <x:v>medium</x:v>
      </x:c>
      <x:c r="I73" s="34" t="str">
        <x:v>one_document</x:v>
      </x:c>
      <x:c r="J73" s="34" t="str">
        <x:v>What does local inference change about where model computation happens?</x:v>
      </x:c>
      <x:c r="K73" s="34" t="str">
        <x:v>A good answer should say that computation can happen on the user's own machine rather than a remote cloud provider, depending on setup. The answer should avoid overstating privacy because local computation still leaves local storage, logs, and device-security issues.</x:v>
      </x:c>
      <x:c r="L73" s="34" t="str">
        <x:v>D2 README Description; D4 ICO security/data minimisation for limitation context</x:v>
      </x:c>
      <x:c r="M73" s="34" t="str">
        <x:v>Local inference changes where model computation happens by allowing the model to make inferences locally on the device from which the query is generated, rather than relying on a cloud server. This means that the inference can be done on the user's own device, such as a smartphone, rather than having to send the data to a remote server for processing.</x:v>
      </x:c>
      <x:c r="N73" s="42" t="n">
        <x:v>5</x:v>
      </x:c>
      <x:c r="O73" s="42" t="n">
        <x:v>5</x:v>
      </x:c>
      <x:c r="P73" s="42" t="n">
        <x:v>5</x:v>
      </x:c>
      <x:c r="Q73" s="42" t="n">
        <x:v>3</x:v>
      </x:c>
      <x:c r="R73" s="42" t="n">
        <x:v>5</x:v>
      </x:c>
      <x:c r="S73" s="42" t="n">
        <x:v>4</x:v>
      </x:c>
      <x:c r="T73" s="50" t="n">
        <x:f>IF(COUNT(N73:S73)=6,AVERAGE(N73:S73),"")</x:f>
        <x:v>4.5</x:v>
      </x:c>
      <x:c r="U73" s="34" t="str">
        <x:v>AI draft note: Directly and correctly contrasts on-device and remote computation, but does not mention remaining local storage, logging, or device-security concerns.</x:v>
      </x:c>
      <x:c r="V73" s="52" t="str">
        <x:v>AI draft (Codex/GPT); human review required</x:v>
      </x:c>
      <x:c r="W73" s="54" t="str">
        <x:v>2026-06-29</x:v>
      </x:c>
      <x:c r="X73" s="58" t="str">
        <x:v>AI draft - needs human review</x:v>
      </x:c>
    </x:row>
    <x:row r="74" ht="84" customHeight="1">
      <x:c r="A74" s="34" t="str">
        <x:v>R9-Q021-R1</x:v>
      </x:c>
      <x:c r="B74" s="34" t="str">
        <x:v>R9</x:v>
      </x:c>
      <x:c r="C74" s="34" t="str">
        <x:v>Q021</x:v>
      </x:c>
      <x:c r="D74" s="34" t="str">
        <x:v>1</x:v>
      </x:c>
      <x:c r="E74" s="34" t="str">
        <x:v>D3</x:v>
      </x:c>
      <x:c r="F74" s="34" t="str">
        <x:v>NIST AI RMF</x:v>
      </x:c>
      <x:c r="G74" s="34" t="str">
        <x:v>fact_retrieval</x:v>
      </x:c>
      <x:c r="H74" s="34" t="str">
        <x:v>easy</x:v>
      </x:c>
      <x:c r="I74" s="34" t="str">
        <x:v>one_document</x:v>
      </x:c>
      <x:c r="J74" s="34" t="str">
        <x:v>What is the purpose of the NIST AI Risk Management Framework?</x:v>
      </x:c>
      <x:c r="K74" s="34" t="str">
        <x:v>A good answer should state that the AI RMF is a voluntary framework for managing AI risks and improving the incorporation of trustworthiness considerations into AI design, development, use, and evaluation.</x:v>
      </x:c>
      <x:c r="L74" s="34" t="str">
        <x:v>D3 NIST AI RMF web overview; D3 AI RMF Executive Summary</x:v>
      </x:c>
      <x:c r="M74" s="34" t="str">
        <x:v>The purpose of the NIST AI Risk Management Framework is to provide a structured approach for addressing and managing the risks associated with AI systems. It aims to minimize potential negative impacts while maximizing positive outcomes, thereby ensuring more trustworthy AI systems. The framework addresses risks, impacts, and harms, and provides metrics, methodologies, and goals for evaluating its effectiveness. It also aims to enhance processes for governing, mapping, measuring, and managing AI risk, and to clearly document outcomes.</x:v>
      </x:c>
      <x:c r="N74" s="42" t="n">
        <x:v>5</x:v>
      </x:c>
      <x:c r="O74" s="42" t="n">
        <x:v>4</x:v>
      </x:c>
      <x:c r="P74" s="42" t="n">
        <x:v>4</x:v>
      </x:c>
      <x:c r="Q74" s="42" t="n">
        <x:v>4</x:v>
      </x:c>
      <x:c r="R74" s="42" t="n">
        <x:v>5</x:v>
      </x:c>
      <x:c r="S74" s="42" t="n">
        <x:v>4</x:v>
      </x:c>
      <x:c r="T74" s="50" t="n">
        <x:f>IF(COUNT(N74:S74)=6,AVERAGE(N74:S74),"")</x:f>
        <x:v>4.333333333333333</x:v>
      </x:c>
      <x:c r="U74" s="34" t="str">
        <x:v>AI draft note: Strong account of structured risk management and trustworthiness functions; it omits that the framework is voluntary and the full lifecycle wording.</x:v>
      </x:c>
      <x:c r="V74" s="52" t="str">
        <x:v>AI draft (Codex/GPT); human review required</x:v>
      </x:c>
      <x:c r="W74" s="54" t="str">
        <x:v>2026-06-29</x:v>
      </x:c>
      <x:c r="X74" s="58" t="str">
        <x:v>AI draft - needs human review</x:v>
      </x:c>
    </x:row>
    <x:row r="75" ht="84" customHeight="1">
      <x:c r="A75" s="34" t="str">
        <x:v>K8-Q026-R1</x:v>
      </x:c>
      <x:c r="B75" s="34" t="str">
        <x:v>K8</x:v>
      </x:c>
      <x:c r="C75" s="34" t="str">
        <x:v>Q026</x:v>
      </x:c>
      <x:c r="D75" s="34" t="str">
        <x:v>1</x:v>
      </x:c>
      <x:c r="E75" s="34" t="str">
        <x:v>D3</x:v>
      </x:c>
      <x:c r="F75" s="34" t="str">
        <x:v>NIST AI RMF</x:v>
      </x:c>
      <x:c r="G75" s="34" t="str">
        <x:v>source_grounded_synthesis</x:v>
      </x:c>
      <x:c r="H75" s="34" t="str">
        <x:v>hard</x:v>
      </x:c>
      <x:c r="I75" s="34" t="str">
        <x:v>one_document</x:v>
      </x:c>
      <x:c r="J75" s="34" t="str">
        <x:v>How could the AI RMF support the privacy discussion in this dissertation?</x:v>
      </x:c>
      <x:c r="K75" s="34" t="str">
        <x:v>A good answer should link privacy to trustworthiness and risk management. It should say that privacy-enhanced AI is one trustworthiness characteristic, and that local deployment should still be assessed for risks, controls, and trade-offs.</x:v>
      </x:c>
      <x:c r="L75" s="34" t="str">
        <x:v>D3 AI RMF section 3.6 Privacy-Enhanced; D3 AI RMF Core</x:v>
      </x:c>
      <x:c r="M75" s="34" t="str">
        <x:v>The AI RMF (Framework) could support the privacy discussion in this dissertation by providing a common language and understanding of AI risks, as well as ensuring that the privacy aspects of the AI RMF are easily communicated and can be adapted to fit the needs of different organizations and stakeholders. It could also ensure that the privacy aspects are regularly updated and transparently managed, allowing for contributions from various stakeholders. Additionally, the AI RMF could provide clear and understandable terms and definitions of AI risks, ensuring that the privacy discussion is relevant and useful to practitioners.</x:v>
      </x:c>
      <x:c r="N75" s="42" t="n">
        <x:v>3</x:v>
      </x:c>
      <x:c r="O75" s="42" t="n">
        <x:v>3</x:v>
      </x:c>
      <x:c r="P75" s="42" t="n">
        <x:v>3</x:v>
      </x:c>
      <x:c r="Q75" s="42" t="n">
        <x:v>2</x:v>
      </x:c>
      <x:c r="R75" s="42" t="n">
        <x:v>5</x:v>
      </x:c>
      <x:c r="S75" s="42" t="n">
        <x:v>3</x:v>
      </x:c>
      <x:c r="T75" s="50" t="n">
        <x:f>IF(COUNT(N75:S75)=6,AVERAGE(N75:S75),"")</x:f>
        <x:v>3.1666666666666665</x:v>
      </x:c>
      <x:c r="U75" s="34" t="str">
        <x:v>AI draft note: Links privacy to risk language and communication but does not identify privacy-enhanced AI, local-deployment risks, controls, or trade-offs.</x:v>
      </x:c>
      <x:c r="V75" s="52" t="str">
        <x:v>AI draft (Codex/GPT); human review required</x:v>
      </x:c>
      <x:c r="W75" s="54" t="str">
        <x:v>2026-06-29</x:v>
      </x:c>
      <x:c r="X75" s="58" t="str">
        <x:v>AI draft - needs human review</x:v>
      </x:c>
    </x:row>
    <x:row r="76" ht="84" customHeight="1">
      <x:c r="A76" s="34" t="str">
        <x:v>M4-Q004-R1</x:v>
      </x:c>
      <x:c r="B76" s="34" t="str">
        <x:v>M4</x:v>
      </x:c>
      <x:c r="C76" s="34" t="str">
        <x:v>Q004</x:v>
      </x:c>
      <x:c r="D76" s="34" t="str">
        <x:v>1</x:v>
      </x:c>
      <x:c r="E76" s="34" t="str">
        <x:v>D1</x:v>
      </x:c>
      <x:c r="F76" s="34" t="str">
        <x:v>RAG Paper</x:v>
      </x:c>
      <x:c r="G76" s="34" t="str">
        <x:v>fact_retrieval</x:v>
      </x:c>
      <x:c r="H76" s="34" t="str">
        <x:v>easy</x:v>
      </x:c>
      <x:c r="I76" s="34" t="str">
        <x:v>one_document</x:v>
      </x:c>
      <x:c r="J76" s="34" t="str">
        <x:v>What is the role of the retriever in a RAG pipeline?</x:v>
      </x:c>
      <x:c r="K76" s="34" t="str">
        <x:v>A good answer should say that the retriever takes the input query, searches a document index, and returns top relevant text passages. These passages become context for the generator.</x:v>
      </x:c>
      <x:c r="L76" s="34" t="str">
        <x:v>D1 Methods section 2; D1 Retriever section 2.2</x:v>
      </x:c>
      <x:c r="M76" s="34" t="str">
        <x:v>The retriever in a RAG pipeline is responsible for learning to retrieve relevant information for the task. It is used to assess the effectiveness of the retrieval mechanism by running ablations where the retriever is frozen during training. The retriever improves results for all tasks, and it allows the generator to choose content from several documents when producing an answer.</x:v>
      </x:c>
      <x:c r="N76" s="42" t="n">
        <x:v>4</x:v>
      </x:c>
      <x:c r="O76" s="42" t="n">
        <x:v>3</x:v>
      </x:c>
      <x:c r="P76" s="42" t="n">
        <x:v>4</x:v>
      </x:c>
      <x:c r="Q76" s="42" t="n">
        <x:v>3</x:v>
      </x:c>
      <x:c r="R76" s="42" t="n">
        <x:v>5</x:v>
      </x:c>
      <x:c r="S76" s="42" t="n">
        <x:v>4</x:v>
      </x:c>
      <x:c r="T76" s="50" t="n">
        <x:f>IF(COUNT(N76:S76)=6,AVERAGE(N76:S76),"")</x:f>
        <x:v>3.8333333333333335</x:v>
      </x:c>
      <x:c r="U76" s="34" t="str">
        <x:v>AI draft note: Correctly says the retriever supplies relevant material to the generator, but does not clearly describe the input query, document index, or top passages.</x:v>
      </x:c>
      <x:c r="V76" s="52" t="str">
        <x:v>AI draft (Codex/GPT); human review required</x:v>
      </x:c>
      <x:c r="W76" s="54" t="str">
        <x:v>2026-06-29</x:v>
      </x:c>
      <x:c r="X76" s="58" t="str">
        <x:v>AI draft - needs human review</x:v>
      </x:c>
    </x:row>
    <x:row r="77" ht="84" customHeight="1">
      <x:c r="A77" s="34" t="str">
        <x:v>K8-Q008-R1</x:v>
      </x:c>
      <x:c r="B77" s="34" t="str">
        <x:v>K8</x:v>
      </x:c>
      <x:c r="C77" s="34" t="str">
        <x:v>Q008</x:v>
      </x:c>
      <x:c r="D77" s="34" t="str">
        <x:v>1</x:v>
      </x:c>
      <x:c r="E77" s="34" t="str">
        <x:v>D1</x:v>
      </x:c>
      <x:c r="F77" s="34" t="str">
        <x:v>RAG Paper</x:v>
      </x:c>
      <x:c r="G77" s="34" t="str">
        <x:v>boundary_limitation</x:v>
      </x:c>
      <x:c r="H77" s="34" t="str">
        <x:v>medium</x:v>
      </x:c>
      <x:c r="I77" s="34" t="str">
        <x:v>one_document</x:v>
      </x:c>
      <x:c r="J77" s="34" t="str">
        <x:v>What limitation of large pre-trained models motivates the use of retrieval?</x:v>
      </x:c>
      <x:c r="K77" s="34" t="str">
        <x:v>A good answer should state that large pre-trained models can store knowledge but may struggle to access, manipulate, update, or explain it reliably. They may also hallucinate or fail to provide provenance.</x:v>
      </x:c>
      <x:c r="L77" s="34" t="str">
        <x:v>D1 abstract; D1 Introduction paragraphs 1-2</x:v>
      </x:c>
      <x:c r="M77" s="34" t="str">
        <x:v>The limitation of large pre-trained models, which has been shown to store factual knowledge in their parameters and achieve state-of-the-art results when ne-tuned on downstream NLP tasks, motivates the need for a retrieval-based approach. This is because while there is significant work on learning to optimize the retrieval module for a specific downstream task such as question answering, using search, reinforcement learning, or a latent variable approach, these successes do not leverage different retrieval-based architectures and achieve strong performance across both discriminative and generative tasks. For further improvement, BART [32] and T5 [51, 52] propose a single, pre-trained encoder-decoder model that leverages bi-directional attention to achieve stronger performance on discriminative and generative tasks. Therefore, the use of retrieval-based approaches is motivated by the need to expand the space of possible tasks with a single, unified architecture, as a single, unified architecture can potentially achieve stronger performance across a range of downstream tasks.</x:v>
      </x:c>
      <x:c r="N77" s="42" t="n">
        <x:v>2</x:v>
      </x:c>
      <x:c r="O77" s="42" t="n">
        <x:v>2</x:v>
      </x:c>
      <x:c r="P77" s="42" t="n">
        <x:v>2</x:v>
      </x:c>
      <x:c r="Q77" s="42" t="n">
        <x:v>1</x:v>
      </x:c>
      <x:c r="R77" s="42" t="n">
        <x:v>2</x:v>
      </x:c>
      <x:c r="S77" s="42" t="n">
        <x:v>2</x:v>
      </x:c>
      <x:c r="T77" s="50" t="n">
        <x:f>IF(COUNT(N77:S77)=6,AVERAGE(N77:S77),"")</x:f>
        <x:v>1.8333333333333333</x:v>
      </x:c>
      <x:c r="U77" s="34" t="str">
        <x:v>AI draft note: Drifts into prior architectures and benchmarks and fails to state inaccessible, hard-to-update, unexplained parametric knowledge, hallucination, or provenance limitations.</x:v>
      </x:c>
      <x:c r="V77" s="52" t="str">
        <x:v>AI draft (Codex/GPT); human review required</x:v>
      </x:c>
      <x:c r="W77" s="54" t="str">
        <x:v>2026-06-29</x:v>
      </x:c>
      <x:c r="X77" s="58" t="str">
        <x:v>AI draft - needs human review</x:v>
      </x:c>
    </x:row>
    <x:row r="78" ht="84" customHeight="1">
      <x:c r="A78" s="34" t="str">
        <x:v>A7-Q021-R1</x:v>
      </x:c>
      <x:c r="B78" s="34" t="str">
        <x:v>A7</x:v>
      </x:c>
      <x:c r="C78" s="34" t="str">
        <x:v>Q021</x:v>
      </x:c>
      <x:c r="D78" s="34" t="str">
        <x:v>1</x:v>
      </x:c>
      <x:c r="E78" s="34" t="str">
        <x:v>D3</x:v>
      </x:c>
      <x:c r="F78" s="34" t="str">
        <x:v>NIST AI RMF</x:v>
      </x:c>
      <x:c r="G78" s="34" t="str">
        <x:v>fact_retrieval</x:v>
      </x:c>
      <x:c r="H78" s="34" t="str">
        <x:v>easy</x:v>
      </x:c>
      <x:c r="I78" s="34" t="str">
        <x:v>one_document</x:v>
      </x:c>
      <x:c r="J78" s="34" t="str">
        <x:v>What is the purpose of the NIST AI Risk Management Framework?</x:v>
      </x:c>
      <x:c r="K78" s="34" t="str">
        <x:v>A good answer should state that the AI RMF is a voluntary framework for managing AI risks and improving the incorporation of trustworthiness considerations into AI design, development, use, and evaluation.</x:v>
      </x:c>
      <x:c r="L78" s="34" t="str">
        <x:v>D3 NIST AI RMF web overview; D3 AI RMF Executive Summary</x:v>
      </x:c>
      <x:c r="M78" s="34" t="str">
        <x:v>The NIST AI Risk Management Framework (AI RMF) is designed to help organizations minimize potential negative impacts of AI systems, while also maximizing positive impacts. It aims to improve the trustworthiness of AI systems through effective risk management, addressing, documenting, and managing risks and potential negative impacts. Essentially, it’s a framework to guide organizations in how to approach and mitigate the risks associated with AI.</x:v>
      </x:c>
      <x:c r="N78" s="42" t="n">
        <x:v>5</x:v>
      </x:c>
      <x:c r="O78" s="42" t="n">
        <x:v>4</x:v>
      </x:c>
      <x:c r="P78" s="42" t="n">
        <x:v>4</x:v>
      </x:c>
      <x:c r="Q78" s="42" t="n">
        <x:v>3</x:v>
      </x:c>
      <x:c r="R78" s="42" t="n">
        <x:v>5</x:v>
      </x:c>
      <x:c r="S78" s="42" t="n">
        <x:v>4</x:v>
      </x:c>
      <x:c r="T78" s="50" t="n">
        <x:f>IF(COUNT(N78:S78)=6,AVERAGE(N78:S78),"")</x:f>
        <x:v>4.166666666666667</x:v>
      </x:c>
      <x:c r="U78" s="34" t="str">
        <x:v>AI draft note: Accurately states risk reduction and trustworthy AI purpose, but omits voluntary status and explicit lifecycle coverage.</x:v>
      </x:c>
      <x:c r="V78" s="52" t="str">
        <x:v>AI draft (Codex/GPT); human review required</x:v>
      </x:c>
      <x:c r="W78" s="54" t="str">
        <x:v>2026-06-29</x:v>
      </x:c>
      <x:c r="X78" s="58" t="str">
        <x:v>AI draft - needs human review</x:v>
      </x:c>
    </x:row>
    <x:row r="79" ht="84" customHeight="1">
      <x:c r="A79" s="34" t="str">
        <x:v>A7-Q022-R1</x:v>
      </x:c>
      <x:c r="B79" s="34" t="str">
        <x:v>A7</x:v>
      </x:c>
      <x:c r="C79" s="34" t="str">
        <x:v>Q022</x:v>
      </x:c>
      <x:c r="D79" s="34" t="str">
        <x:v>1</x:v>
      </x:c>
      <x:c r="E79" s="34" t="str">
        <x:v>D3</x:v>
      </x:c>
      <x:c r="F79" s="34" t="str">
        <x:v>NIST AI RMF</x:v>
      </x:c>
      <x:c r="G79" s="34" t="str">
        <x:v>explanation</x:v>
      </x:c>
      <x:c r="H79" s="34" t="str">
        <x:v>medium</x:v>
      </x:c>
      <x:c r="I79" s="34" t="str">
        <x:v>one_document</x:v>
      </x:c>
      <x:c r="J79" s="34" t="str">
        <x:v>Why does AI risk management matter when deploying AI systems?</x:v>
      </x:c>
      <x:c r="K79" s="34" t="str">
        <x:v>A good answer should explain that AI systems can create risks for individuals, organisations, society, and the environment. Risk management helps identify, document, reduce, and monitor negative impacts while supporting trustworthy and responsible use.</x:v>
      </x:c>
      <x:c r="L79" s="34" t="str">
        <x:v>D3 AI RMF Executive Summary; D3 Framing Risk section</x:v>
      </x:c>
      <x:c r="M79" s="34" t="str">
        <x:v>AI risk management is crucial because it’s incumbent on Framework users to continue applying the MANAGE function to deployed AI systems as evolving contexts, risks, and needs from relevant AI actors change over time. It’s important to manage risk in AI systems, especially when customers integrate third-party data or systems, and this can be complicated by the lack of sufficient internal governance and technical safeguards.  Ultimately, organizations should cease development and deployment until risks are sufficiently managed.  Prioritization can differ significantly depending on whether the AI system is designed to directly interact with humans versus not.</x:v>
      </x:c>
      <x:c r="N79" s="42" t="n">
        <x:v>4</x:v>
      </x:c>
      <x:c r="O79" s="42" t="n">
        <x:v>4</x:v>
      </x:c>
      <x:c r="P79" s="42" t="n">
        <x:v>4</x:v>
      </x:c>
      <x:c r="Q79" s="42" t="n">
        <x:v>3</x:v>
      </x:c>
      <x:c r="R79" s="42" t="n">
        <x:v>5</x:v>
      </x:c>
      <x:c r="S79" s="42" t="n">
        <x:v>4</x:v>
      </x:c>
      <x:c r="T79" s="50" t="n">
        <x:f>IF(COUNT(N79:S79)=6,AVERAGE(N79:S79),"")</x:f>
        <x:v>4</x:v>
      </x:c>
      <x:c r="U79" s="34" t="str">
        <x:v>AI draft note: Good deployment-specific management, monitoring, governance, and stop-until-managed points; it omits explicit harms to individuals, society, and environment.</x:v>
      </x:c>
      <x:c r="V79" s="52" t="str">
        <x:v>AI draft (Codex/GPT); human review required</x:v>
      </x:c>
      <x:c r="W79" s="54" t="str">
        <x:v>2026-06-29</x:v>
      </x:c>
      <x:c r="X79" s="58" t="str">
        <x:v>AI draft - needs human review</x:v>
      </x:c>
    </x:row>
    <x:row r="80" ht="84" customHeight="1">
      <x:c r="A80" s="34" t="str">
        <x:v>F3-Q033-R1</x:v>
      </x:c>
      <x:c r="B80" s="34" t="str">
        <x:v>F3</x:v>
      </x:c>
      <x:c r="C80" s="34" t="str">
        <x:v>Q033</x:v>
      </x:c>
      <x:c r="D80" s="34" t="str">
        <x:v>1</x:v>
      </x:c>
      <x:c r="E80" s="34" t="str">
        <x:v>D4</x:v>
      </x:c>
      <x:c r="F80" s="34" t="str">
        <x:v>ICO AI Data Protection Guidance</x:v>
      </x:c>
      <x:c r="G80" s="34" t="str">
        <x:v>explanation</x:v>
      </x:c>
      <x:c r="H80" s="34" t="str">
        <x:v>medium</x:v>
      </x:c>
      <x:c r="I80" s="34" t="str">
        <x:v>one_document</x:v>
      </x:c>
      <x:c r="J80" s="34" t="str">
        <x:v>Why are accuracy and statistical accuracy relevant to AI outputs?</x:v>
      </x:c>
      <x:c r="K80" s="34" t="str">
        <x:v>A good answer should distinguish data-protection accuracy, meaning personal data is accurate and up to date, from statistical accuracy, meaning how often an AI system gives correct answers against test data. Both matter because inaccurate outputs can affect fairness and personal-data processing.</x:v>
      </x:c>
      <x:c r="L80" s="34" t="str">
        <x:v>D4 ICO accuracy and statistical accuracy chapter</x:v>
      </x:c>
      <x:c r="M80" s="34" t="str">
        <x:v>Accuracy and statistical accuracy are crucial for AI outputs because they ensure that the outputs are reliable and trustworthy. In the context of AI systems, accuracy refers to the degree to which the system's predictions or decisions match the actual outcomes. This is important because it allows the system to be used in a manner that is consistent with the intended purpose. On the other hand, statistical accuracy refers to the degree to which the system's outputs are based on data and can be trusted. This ensures that the system's outputs are reliable and can be trusted to be accurate. In the case of AI systems, accuracy and statistical accuracy are essential for ensuring that the outputs are not misinterpreted as factual and are used in a manner that is consistent with the intended purpose.</x:v>
      </x:c>
      <x:c r="N80" s="42" t="n">
        <x:v>3</x:v>
      </x:c>
      <x:c r="O80" s="42" t="n">
        <x:v>2</x:v>
      </x:c>
      <x:c r="P80" s="42" t="n">
        <x:v>2</x:v>
      </x:c>
      <x:c r="Q80" s="42" t="n">
        <x:v>2</x:v>
      </x:c>
      <x:c r="R80" s="42" t="n">
        <x:v>3</x:v>
      </x:c>
      <x:c r="S80" s="42" t="n">
        <x:v>2</x:v>
      </x:c>
      <x:c r="T80" s="50" t="n">
        <x:f>IF(COUNT(N80:S80)=6,AVERAGE(N80:S80),"")</x:f>
        <x:v>2.3333333333333335</x:v>
      </x:c>
      <x:c r="U80" s="34" t="str">
        <x:v>AI draft note: Discusses reliability but defines both concepts incorrectly and fails to distinguish accurate personal data from test-set predictive performance.</x:v>
      </x:c>
      <x:c r="V80" s="52" t="str">
        <x:v>AI draft (Codex/GPT); human review required</x:v>
      </x:c>
      <x:c r="W80" s="54" t="str">
        <x:v>2026-06-29</x:v>
      </x:c>
      <x:c r="X80" s="58" t="str">
        <x:v>AI draft - needs human review</x:v>
      </x:c>
    </x:row>
    <x:row r="81" ht="84" customHeight="1">
      <x:c r="A81" s="34" t="str">
        <x:v>R9-Q037-R1</x:v>
      </x:c>
      <x:c r="B81" s="34" t="str">
        <x:v>R9</x:v>
      </x:c>
      <x:c r="C81" s="34" t="str">
        <x:v>Q037</x:v>
      </x:c>
      <x:c r="D81" s="34" t="str">
        <x:v>1</x:v>
      </x:c>
      <x:c r="E81" s="34" t="str">
        <x:v>D4</x:v>
      </x:c>
      <x:c r="F81" s="34" t="str">
        <x:v>ICO AI Data Protection Guidance</x:v>
      </x:c>
      <x:c r="G81" s="34" t="str">
        <x:v>boundary_limitation</x:v>
      </x:c>
      <x:c r="H81" s="34" t="str">
        <x:v>hard</x:v>
      </x:c>
      <x:c r="I81" s="34" t="str">
        <x:v>one_document</x:v>
      </x:c>
      <x:c r="J81" s="34" t="str">
        <x:v>Why does keeping processing local not remove all data protection responsibilities?</x:v>
      </x:c>
      <x:c r="K81" s="34" t="str">
        <x:v>A good answer should explain that data protection obligations apply whenever personal data is processed, regardless of whether processing is local or cloud-based. Local systems still require lawful basis, transparency, security controls, minimisation, retention management, and accountability.</x:v>
      </x:c>
      <x:c r="L81" s="34" t="str">
        <x:v>D4 ICO lawfulness chapter; D4 transparency chapter; D4 security and data minimisation chapter</x:v>
      </x:c>
      <x:c r="M81" s="34" t="str">
        <x:v>Keeping processing local does not remove all data protection responsibilities because the organization that creates and distributes the model is still considered a controller. This means they determine the means and purposes of processing, even if the personal data involved in training is being processed on the user's device. Additionally, the organization must assess the impact of their processing on individuals and demonstrate that there is a compelling benefit to the processing. They must also be able to show the necessity and proportionality of the processing.</x:v>
      </x:c>
      <x:c r="N81" s="42" t="n">
        <x:v>4</x:v>
      </x:c>
      <x:c r="O81" s="42" t="n">
        <x:v>3</x:v>
      </x:c>
      <x:c r="P81" s="42" t="n">
        <x:v>3</x:v>
      </x:c>
      <x:c r="Q81" s="42" t="n">
        <x:v>2</x:v>
      </x:c>
      <x:c r="R81" s="42" t="n">
        <x:v>4</x:v>
      </x:c>
      <x:c r="S81" s="42" t="n">
        <x:v>3</x:v>
      </x:c>
      <x:c r="T81" s="50" t="n">
        <x:f>IF(COUNT(N81:S81)=6,AVERAGE(N81:S81),"")</x:f>
        <x:v>3.1666666666666665</x:v>
      </x:c>
      <x:c r="U81" s="34" t="str">
        <x:v>AI draft note: Correctly retains controller and impact-assessment duties, but omits lawful basis, transparency, security, minimisation, retention, and accountability.</x:v>
      </x:c>
      <x:c r="V81" s="52" t="str">
        <x:v>AI draft (Codex/GPT); human review required</x:v>
      </x:c>
      <x:c r="W81" s="54" t="str">
        <x:v>2026-06-29</x:v>
      </x:c>
      <x:c r="X81" s="58" t="str">
        <x:v>AI draft - needs human review</x:v>
      </x:c>
    </x:row>
    <x:row r="82" ht="84" customHeight="1">
      <x:c r="A82" s="34" t="str">
        <x:v>M4-Q019-R1</x:v>
      </x:c>
      <x:c r="B82" s="34" t="str">
        <x:v>M4</x:v>
      </x:c>
      <x:c r="C82" s="34" t="str">
        <x:v>Q019</x:v>
      </x:c>
      <x:c r="D82" s="34" t="str">
        <x:v>1</x:v>
      </x:c>
      <x:c r="E82" s="34" t="str">
        <x:v>D2</x:v>
      </x:c>
      <x:c r="F82" s="34" t="str">
        <x:v>llama.cpp README</x:v>
      </x:c>
      <x:c r="G82" s="34" t="str">
        <x:v>explanation</x:v>
      </x:c>
      <x:c r="H82" s="34" t="str">
        <x:v>medium</x:v>
      </x:c>
      <x:c r="I82" s="34" t="str">
        <x:v>one_document</x:v>
      </x:c>
      <x:c r="J82" s="34" t="str">
        <x:v>Why might a lightweight runtime matter for a laptop-based dissertation benchmark?</x:v>
      </x:c>
      <x:c r="K82" s="34" t="str">
        <x:v>A good answer should explain that a lightweight runtime with minimal setup and quantisation support makes repeated local experiments feasible on limited laptop hardware. It helps control deployment practicality as part of the benchmark.</x:v>
      </x:c>
      <x:c r="L82" s="34" t="str">
        <x:v>D2 README Quick start; D2 Description</x:v>
      </x:c>
      <x:c r="M82" s="34" t="str">
        <x:v>A lightweight runtime is important for a laptop-based dissertation benchmark because it allows the system to run efficiently on a device with limited computational resources. This is crucial for maintaining a manageable and feasible workload during the dissertation process, especially when working on a laptop or other low-power devices. A lightweight runtime ensures that the system can handle the demands of the dissertation tasks without overwhelming the computational resources, thereby facilitating a smooth and effective research experience.</x:v>
      </x:c>
      <x:c r="N82" s="42" t="n">
        <x:v>4</x:v>
      </x:c>
      <x:c r="O82" s="42" t="n">
        <x:v>3</x:v>
      </x:c>
      <x:c r="P82" s="42" t="n">
        <x:v>3</x:v>
      </x:c>
      <x:c r="Q82" s="42" t="n">
        <x:v>2</x:v>
      </x:c>
      <x:c r="R82" s="42" t="n">
        <x:v>5</x:v>
      </x:c>
      <x:c r="S82" s="42" t="n">
        <x:v>3</x:v>
      </x:c>
      <x:c r="T82" s="50" t="n">
        <x:f>IF(COUNT(N82:S82)=6,AVERAGE(N82:S82),"")</x:f>
        <x:v>3.3333333333333335</x:v>
      </x:c>
      <x:c r="U82" s="34" t="str">
        <x:v>AI draft note: Correctly links lightweight execution to limited hardware and feasibility, but omits quantisation, minimal setup, repeated runs, and deployment-practicality measurement.</x:v>
      </x:c>
      <x:c r="V82" s="52" t="str">
        <x:v>AI draft (Codex/GPT); human review required</x:v>
      </x:c>
      <x:c r="W82" s="54" t="str">
        <x:v>2026-06-29</x:v>
      </x:c>
      <x:c r="X82" s="58" t="str">
        <x:v>AI draft - needs human review</x:v>
      </x:c>
    </x:row>
    <x:row r="83" ht="84" customHeight="1">
      <x:c r="A83" s="34" t="str">
        <x:v>T2-Q008-R1</x:v>
      </x:c>
      <x:c r="B83" s="34" t="str">
        <x:v>T2</x:v>
      </x:c>
      <x:c r="C83" s="34" t="str">
        <x:v>Q008</x:v>
      </x:c>
      <x:c r="D83" s="34" t="str">
        <x:v>1</x:v>
      </x:c>
      <x:c r="E83" s="34" t="str">
        <x:v>D1</x:v>
      </x:c>
      <x:c r="F83" s="34" t="str">
        <x:v>RAG Paper</x:v>
      </x:c>
      <x:c r="G83" s="34" t="str">
        <x:v>boundary_limitation</x:v>
      </x:c>
      <x:c r="H83" s="34" t="str">
        <x:v>medium</x:v>
      </x:c>
      <x:c r="I83" s="34" t="str">
        <x:v>one_document</x:v>
      </x:c>
      <x:c r="J83" s="34" t="str">
        <x:v>What limitation of large pre-trained models motivates the use of retrieval?</x:v>
      </x:c>
      <x:c r="K83" s="34" t="str">
        <x:v>A good answer should state that large pre-trained models can store knowledge but may struggle to access, manipulate, update, or explain it reliably. They may also hallucinate or fail to provide provenance.</x:v>
      </x:c>
      <x:c r="L83" s="34" t="str">
        <x:v>D1 abstract; D1 Introduction paragraphs 1-2</x:v>
      </x:c>
      <x:c r="M83" s="34" t="str">
        <x:v>The limitation of large pre-trained models that motivates the use of retrieval is that they often store factual knowledge in their parameters, which can lead to overfitting and decreased performance when fine-tuning on downstream tasks such as question answering.
In other words, large pre-trained models have been shown to retain a lot of knowledge from the training data, which can be difficult to transfer to new tasks. This can result in poor performance on tasks that require a deep understanding of the training data, such as question answering.
Retrieval, on the other hand, is a technique used to extract relevant information from a large corpus of documents or data. In the context of large pre-trained models, retrieval can be used to augment the model's performance by providing additional information that can be used to improve downstream tasks.
By learning a retrieval module to augment pre-trained, generative language models, researchers can leverage the strengths of both the model and the retrieval technique to achieve state-of-the-art results on a wider range of tasks.</x:v>
      </x:c>
      <x:c r="N83" s="42" t="n">
        <x:v>3</x:v>
      </x:c>
      <x:c r="O83" s="42" t="n">
        <x:v>2</x:v>
      </x:c>
      <x:c r="P83" s="42" t="n">
        <x:v>2</x:v>
      </x:c>
      <x:c r="Q83" s="42" t="n">
        <x:v>2</x:v>
      </x:c>
      <x:c r="R83" s="42" t="n">
        <x:v>2</x:v>
      </x:c>
      <x:c r="S83" s="42" t="n">
        <x:v>2</x:v>
      </x:c>
      <x:c r="T83" s="50" t="n">
        <x:f>IF(COUNT(N83:S83)=6,AVERAGE(N83:S83),"")</x:f>
        <x:v>2.1666666666666665</x:v>
      </x:c>
      <x:c r="U83" s="34" t="str">
        <x:v>AI draft note: Recognises stored parametric knowledge and retrieval augmentation but incorrectly emphasises overfitting and transfer, missing updates, provenance, explanation, and hallucination.</x:v>
      </x:c>
      <x:c r="V83" s="52" t="str">
        <x:v>AI draft (Codex/GPT); human review required</x:v>
      </x:c>
      <x:c r="W83" s="54" t="str">
        <x:v>2026-06-29</x:v>
      </x:c>
      <x:c r="X83" s="58" t="str">
        <x:v>AI draft - needs human review</x:v>
      </x:c>
    </x:row>
    <x:row r="84" ht="84" customHeight="1">
      <x:c r="A84" s="34" t="str">
        <x:v>A7-Q019-R1</x:v>
      </x:c>
      <x:c r="B84" s="34" t="str">
        <x:v>A7</x:v>
      </x:c>
      <x:c r="C84" s="34" t="str">
        <x:v>Q019</x:v>
      </x:c>
      <x:c r="D84" s="34" t="str">
        <x:v>1</x:v>
      </x:c>
      <x:c r="E84" s="34" t="str">
        <x:v>D2</x:v>
      </x:c>
      <x:c r="F84" s="34" t="str">
        <x:v>llama.cpp README</x:v>
      </x:c>
      <x:c r="G84" s="34" t="str">
        <x:v>explanation</x:v>
      </x:c>
      <x:c r="H84" s="34" t="str">
        <x:v>medium</x:v>
      </x:c>
      <x:c r="I84" s="34" t="str">
        <x:v>one_document</x:v>
      </x:c>
      <x:c r="J84" s="34" t="str">
        <x:v>Why might a lightweight runtime matter for a laptop-based dissertation benchmark?</x:v>
      </x:c>
      <x:c r="K84" s="34" t="str">
        <x:v>A good answer should explain that a lightweight runtime with minimal setup and quantisation support makes repeated local experiments feasible on limited laptop hardware. It helps control deployment practicality as part of the benchmark.</x:v>
      </x:c>
      <x:c r="L84" s="34" t="str">
        <x:v>D2 README Quick start; D2 Description</x:v>
      </x:c>
      <x:c r="M84" s="34" t="str">
        <x:v>The context states that the “runtime” in the benchmark is a concern for laptops-based dissertation projects. It mentions that “performance peaks for RAG-Token at 10 retrieved documents” and that “Retrieving more documents leads to higher Rouge-L for RAG-Token at the expense of Bleu-1.” This suggests that a faster runtime is crucial for a laptop-based dissertation project, as it impacts the overall execution time and potentially the quality of the results.</x:v>
      </x:c>
      <x:c r="N84" s="42" t="n">
        <x:v>2</x:v>
      </x:c>
      <x:c r="O84" s="42" t="n">
        <x:v>2</x:v>
      </x:c>
      <x:c r="P84" s="42" t="n">
        <x:v>2</x:v>
      </x:c>
      <x:c r="Q84" s="42" t="n">
        <x:v>1</x:v>
      </x:c>
      <x:c r="R84" s="42" t="n">
        <x:v>3</x:v>
      </x:c>
      <x:c r="S84" s="42" t="n">
        <x:v>2</x:v>
      </x:c>
      <x:c r="T84" s="50" t="n">
        <x:f>IF(COUNT(N84:S84)=6,AVERAGE(N84:S84),"")</x:f>
        <x:v>2</x:v>
      </x:c>
      <x:c r="U84" s="34" t="str">
        <x:v>AI draft note: Connects runtime to experiment duration but discusses retrieval k and metrics instead of lightweight setup, quantisation, limited hardware, and repeatability.</x:v>
      </x:c>
      <x:c r="V84" s="52" t="str">
        <x:v>AI draft (Codex/GPT); human review required</x:v>
      </x:c>
      <x:c r="W84" s="54" t="str">
        <x:v>2026-06-29</x:v>
      </x:c>
      <x:c r="X84" s="58" t="str">
        <x:v>AI draft - needs human review</x:v>
      </x:c>
    </x:row>
    <x:row r="85" ht="84" customHeight="1">
      <x:c r="A85" s="34" t="str">
        <x:v>R9-Q025-R1</x:v>
      </x:c>
      <x:c r="B85" s="34" t="str">
        <x:v>R9</x:v>
      </x:c>
      <x:c r="C85" s="34" t="str">
        <x:v>Q025</x:v>
      </x:c>
      <x:c r="D85" s="34" t="str">
        <x:v>1</x:v>
      </x:c>
      <x:c r="E85" s="34" t="str">
        <x:v>D3</x:v>
      </x:c>
      <x:c r="F85" s="34" t="str">
        <x:v>NIST AI RMF</x:v>
      </x:c>
      <x:c r="G85" s="34" t="str">
        <x:v>comparison</x:v>
      </x:c>
      <x:c r="H85" s="34" t="str">
        <x:v>medium</x:v>
      </x:c>
      <x:c r="I85" s="34" t="str">
        <x:v>one_document</x:v>
      </x:c>
      <x:c r="J85" s="34" t="str">
        <x:v>Why should risks to individuals organisations and society be considered separately?</x:v>
      </x:c>
      <x:c r="K85" s="34" t="str">
        <x:v>A good answer should explain that AI impacts can occur at different levels: individual harms, organisational failures, and wider societal effects. Treating them separately helps avoid reducing risk to only model accuracy or technical performance.</x:v>
      </x:c>
      <x:c r="L85" s="34" t="str">
        <x:v>D3 AI RMF web overview; D3 Executive Summary; D3 Framing Risk</x:v>
      </x:c>
      <x:c r="M85" s="34" t="str">
        <x:v>Risks to individuals, organizations, and society should be considered separately because each entity is affected differently by potential events and their impact varies. For instance, an individual might face significant harm from a severe accident, while an organization could suffer financial losses or operational disruptions. Society as a whole may experience broader impacts like economic instability or environmental degradation. Therefore, addressing risks to these entities requires tailored strategies and considerations that account for their unique vulnerabilities and impacts.</x:v>
      </x:c>
      <x:c r="N85" s="42" t="n">
        <x:v>5</x:v>
      </x:c>
      <x:c r="O85" s="42" t="n">
        <x:v>4</x:v>
      </x:c>
      <x:c r="P85" s="42" t="n">
        <x:v>4</x:v>
      </x:c>
      <x:c r="Q85" s="42" t="n">
        <x:v>4</x:v>
      </x:c>
      <x:c r="R85" s="42" t="n">
        <x:v>5</x:v>
      </x:c>
      <x:c r="S85" s="42" t="n">
        <x:v>4</x:v>
      </x:c>
      <x:c r="T85" s="50" t="n">
        <x:f>IF(COUNT(N85:S85)=6,AVERAGE(N85:S85),"")</x:f>
        <x:v>4.333333333333333</x:v>
      </x:c>
      <x:c r="U85" s="34" t="str">
        <x:v>AI draft note: Clearly distinguishes individual, organisational, and societal impacts with tailored examples; the link to avoiding accuracy-only assessment is implicit.</x:v>
      </x:c>
      <x:c r="V85" s="52" t="str">
        <x:v>AI draft (Codex/GPT); human review required</x:v>
      </x:c>
      <x:c r="W85" s="54" t="str">
        <x:v>2026-06-29</x:v>
      </x:c>
      <x:c r="X85" s="58" t="str">
        <x:v>AI draft - needs human review</x:v>
      </x:c>
    </x:row>
    <x:row r="86" ht="84" customHeight="1">
      <x:c r="A86" s="34" t="str">
        <x:v>K8-Q040-R1</x:v>
      </x:c>
      <x:c r="B86" s="34" t="str">
        <x:v>K8</x:v>
      </x:c>
      <x:c r="C86" s="34" t="str">
        <x:v>Q040</x:v>
      </x:c>
      <x:c r="D86" s="34" t="str">
        <x:v>1</x:v>
      </x:c>
      <x:c r="E86" s="34" t="str">
        <x:v>D1+D2+D3+D4</x:v>
      </x:c>
      <x:c r="F86" s="34" t="str">
        <x:v>Multiple Sources</x:v>
      </x:c>
      <x:c r="G86" s="34" t="str">
        <x:v>source_grounded_synthesis</x:v>
      </x:c>
      <x:c r="H86" s="34" t="str">
        <x:v>hard</x:v>
      </x:c>
      <x:c r="I86" s="34" t="str">
        <x:v>multiple_documents</x:v>
      </x:c>
      <x:c r="J86" s="34" t="str">
        <x:v>Based on the source documents why should the dissertation conclusion be a conditional recommendation rather than a single universal winner?</x:v>
      </x:c>
      <x:c r="K86" s="34" t="str">
        <x:v>A good answer should synthesise that RAG improves grounding, llama.cpp enables local deployment and quantisation, NIST frames broader risk/trustworthiness, and ICO shows remaining data protection duties. Therefore the best configuration depends on priorities such as quality, speed, memory, practicality, and privacy risk, rather than one universal winner.</x:v>
      </x:c>
      <x:c r="L86" s="34" t="str">
        <x:v>D1 RAG motivation; D2 local inference and quantisation; D3 trustworthiness/risk management; D4 data protection obligations</x:v>
      </x:c>
      <x:c r="M86" s="34" t="str">
        <x:v>Based on the provided context, the dissertation conclusion should be a conditional recommendation rather than a single universal winner because it is a result of a process that involves multiple steps and considerations, rather than a single, straightforward solution. The context suggests that the conclusion is the result of a more complex and nuanced process, involving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x:v>
      </x:c>
      <x:c r="N86" s="42" t="n">
        <x:v>2</x:v>
      </x:c>
      <x:c r="O86" s="42" t="n">
        <x:v>2</x:v>
      </x:c>
      <x:c r="P86" s="42" t="n">
        <x:v>1</x:v>
      </x:c>
      <x:c r="Q86" s="42" t="n">
        <x:v>1</x:v>
      </x:c>
      <x:c r="R86" s="42" t="n">
        <x:v>2</x:v>
      </x:c>
      <x:c r="S86" s="42" t="n">
        <x:v>1</x:v>
      </x:c>
      <x:c r="T86" s="50" t="n">
        <x:f>IF(COUNT(N86:S86)=6,AVERAGE(N86:S86),"")</x:f>
        <x:v>1.5</x:v>
      </x:c>
      <x:c r="U86" s="34" t="str">
        <x:v>AI draft note: Repetitively says the process is complex but provides none of the requested source synthesis or concrete configuration priorities and truncates.</x:v>
      </x:c>
      <x:c r="V86" s="52" t="str">
        <x:v>AI draft (Codex/GPT); human review required</x:v>
      </x:c>
      <x:c r="W86" s="54" t="str">
        <x:v>2026-06-29</x:v>
      </x:c>
      <x:c r="X86" s="58" t="str">
        <x:v>AI draft - needs human review</x:v>
      </x:c>
    </x:row>
    <x:row r="87" ht="84" customHeight="1">
      <x:c r="A87" s="34" t="str">
        <x:v>M4-Q026-R1</x:v>
      </x:c>
      <x:c r="B87" s="34" t="str">
        <x:v>M4</x:v>
      </x:c>
      <x:c r="C87" s="34" t="str">
        <x:v>Q026</x:v>
      </x:c>
      <x:c r="D87" s="34" t="str">
        <x:v>1</x:v>
      </x:c>
      <x:c r="E87" s="34" t="str">
        <x:v>D3</x:v>
      </x:c>
      <x:c r="F87" s="34" t="str">
        <x:v>NIST AI RMF</x:v>
      </x:c>
      <x:c r="G87" s="34" t="str">
        <x:v>source_grounded_synthesis</x:v>
      </x:c>
      <x:c r="H87" s="34" t="str">
        <x:v>hard</x:v>
      </x:c>
      <x:c r="I87" s="34" t="str">
        <x:v>one_document</x:v>
      </x:c>
      <x:c r="J87" s="34" t="str">
        <x:v>How could the AI RMF support the privacy discussion in this dissertation?</x:v>
      </x:c>
      <x:c r="K87" s="34" t="str">
        <x:v>A good answer should link privacy to trustworthiness and risk management. It should say that privacy-enhanced AI is one trustworthiness characteristic, and that local deployment should still be assessed for risks, controls, and trade-offs.</x:v>
      </x:c>
      <x:c r="L87" s="34" t="str">
        <x:v>D3 AI RMF section 3.6 Privacy-Enhanced; D3 AI RMF Core</x:v>
      </x:c>
      <x:c r="M87" s="34" t="str">
        <x:v>The AI RMF could support the privacy discussion in this dissertation by providing a common language and understanding of AI risks. It offers taxonomy, terminology, definitions, metrics, and characterizations for AI risk, which can help in discussing and managing privacy concerns effectively. Additionally, the framework should be easily usable and fit well with other aspects of risk management, making it easier to integrate privacy considerations into the overall risk management process. Clear and plain language that is understandable by a broad audience, including senior executives, government officials, non-governmental organization leadership, and those who are not AI professionals, while still being of sufficient technical depth, can ensure that privacy discussions are accessible and meaningful. The framework should allow for communication of AI risks across an organization, between organizations, with customers, and to the public at large, which can facilitate a comprehensive privacy discussion.</x:v>
      </x:c>
      <x:c r="N87" s="42" t="n">
        <x:v>3</x:v>
      </x:c>
      <x:c r="O87" s="42" t="n">
        <x:v>3</x:v>
      </x:c>
      <x:c r="P87" s="42" t="n">
        <x:v>3</x:v>
      </x:c>
      <x:c r="Q87" s="42" t="n">
        <x:v>2</x:v>
      </x:c>
      <x:c r="R87" s="42" t="n">
        <x:v>5</x:v>
      </x:c>
      <x:c r="S87" s="42" t="n">
        <x:v>3</x:v>
      </x:c>
      <x:c r="T87" s="50" t="n">
        <x:f>IF(COUNT(N87:S87)=6,AVERAGE(N87:S87),"")</x:f>
        <x:v>3.1666666666666665</x:v>
      </x:c>
      <x:c r="U87" s="34" t="str">
        <x:v>AI draft note: Useful risk-language and communication framing, but omits privacy-enhanced trustworthiness, local controls, remaining risks, and trade-offs.</x:v>
      </x:c>
      <x:c r="V87" s="52" t="str">
        <x:v>AI draft (Codex/GPT); human review required</x:v>
      </x:c>
      <x:c r="W87" s="54" t="str">
        <x:v>2026-06-29</x:v>
      </x:c>
      <x:c r="X87" s="58" t="str">
        <x:v>AI draft - needs human review</x:v>
      </x:c>
    </x:row>
    <x:row r="88" ht="84" customHeight="1">
      <x:c r="A88" s="34" t="str">
        <x:v>K8-Q035-R1</x:v>
      </x:c>
      <x:c r="B88" s="34" t="str">
        <x:v>K8</x:v>
      </x:c>
      <x:c r="C88" s="34" t="str">
        <x:v>Q035</x:v>
      </x:c>
      <x:c r="D88" s="34" t="str">
        <x:v>1</x:v>
      </x:c>
      <x:c r="E88" s="34" t="str">
        <x:v>D4</x:v>
      </x:c>
      <x:c r="F88" s="34" t="str">
        <x:v>ICO AI Data Protection Guidance</x:v>
      </x:c>
      <x:c r="G88" s="34" t="str">
        <x:v>boundary_limitation</x:v>
      </x:c>
      <x:c r="H88" s="34" t="str">
        <x:v>hard</x:v>
      </x:c>
      <x:c r="I88" s="34" t="str">
        <x:v>one_document</x:v>
      </x:c>
      <x:c r="J88" s="34" t="str">
        <x:v>What kinds of local risks remain even if a model does not send data to a cloud API?</x:v>
      </x:c>
      <x:c r="K88" s="34" t="str">
        <x:v>A good answer should mention local storage, logs, vector databases, cached files, model outputs, access control, backups, device compromise, insecure dependencies, and possible privacy attacks or leakage from models. It should not claim local equals fully private.</x:v>
      </x:c>
      <x:c r="L88" s="34" t="str">
        <x:v>D4 ICO security and data minimisation chapter; D4 privacy attacks section</x:v>
      </x:c>
      <x:c r="M88" s="34" t="str">
        <x:v>If a model is not sending data to a cloud API, there are still some potential local risks that could apply to the local user or the local device. For example, if the user is using the model for a particular local use case and context, they might need to be aware of whether they should rely on the model's output or not. This could depend on the particular use case and context. If the user is providing the model to a third party via an Application Programming Interface (API), they might not be subject to white box attacks in this way, because the APIs users will not have direct access to the model itself. However, they might still be subjected to black box attacks. To mitigate this risk, the user could monitor queries from the APIs users, in order to detect whether there is a privacy attack on the model. The user might also need to monitor the queries from the APIs users to assess and mitigate the risk that personal data used to train the model may be exposed as a result of the way the model is deployed. The user might not be able to fully assess this risk without collaborating with the client to understand the particular deployment contexts and associated threat models.</x:v>
      </x:c>
      <x:c r="N88" s="42" t="n">
        <x:v>3</x:v>
      </x:c>
      <x:c r="O88" s="42" t="n">
        <x:v>3</x:v>
      </x:c>
      <x:c r="P88" s="42" t="n">
        <x:v>3</x:v>
      </x:c>
      <x:c r="Q88" s="42" t="n">
        <x:v>1</x:v>
      </x:c>
      <x:c r="R88" s="42" t="n">
        <x:v>4</x:v>
      </x:c>
      <x:c r="S88" s="42" t="n">
        <x:v>3</x:v>
      </x:c>
      <x:c r="T88" s="50" t="n">
        <x:f>IF(COUNT(N88:S88)=6,AVERAGE(N88:S88),"")</x:f>
        <x:v>2.8333333333333335</x:v>
      </x:c>
      <x:c r="U88" s="34" t="str">
        <x:v>AI draft note: Discusses model attacks and monitoring but omits nearly all local storage, logging, access, backup, dependency, caching, and device-compromise risks.</x:v>
      </x:c>
      <x:c r="V88" s="52" t="str">
        <x:v>AI draft (Codex/GPT); human review required</x:v>
      </x:c>
      <x:c r="W88" s="54" t="str">
        <x:v>2026-06-29</x:v>
      </x:c>
      <x:c r="X88" s="58" t="str">
        <x:v>AI draft - needs human review</x:v>
      </x:c>
    </x:row>
    <x:row r="89" ht="84" customHeight="1">
      <x:c r="A89" s="34" t="str">
        <x:v>M4-Q037-R1</x:v>
      </x:c>
      <x:c r="B89" s="34" t="str">
        <x:v>M4</x:v>
      </x:c>
      <x:c r="C89" s="34" t="str">
        <x:v>Q037</x:v>
      </x:c>
      <x:c r="D89" s="34" t="str">
        <x:v>1</x:v>
      </x:c>
      <x:c r="E89" s="34" t="str">
        <x:v>D4</x:v>
      </x:c>
      <x:c r="F89" s="34" t="str">
        <x:v>ICO AI Data Protection Guidance</x:v>
      </x:c>
      <x:c r="G89" s="34" t="str">
        <x:v>boundary_limitation</x:v>
      </x:c>
      <x:c r="H89" s="34" t="str">
        <x:v>hard</x:v>
      </x:c>
      <x:c r="I89" s="34" t="str">
        <x:v>one_document</x:v>
      </x:c>
      <x:c r="J89" s="34" t="str">
        <x:v>Why does keeping processing local not remove all data protection responsibilities?</x:v>
      </x:c>
      <x:c r="K89" s="34" t="str">
        <x:v>A good answer should explain that data protection obligations apply whenever personal data is processed, regardless of whether processing is local or cloud-based. Local systems still require lawful basis, transparency, security controls, minimisation, retention management, and accountability.</x:v>
      </x:c>
      <x:c r="L89" s="34" t="str">
        <x:v>D4 ICO lawfulness chapter; D4 transparency chapter; D4 security and data minimisation chapter</x:v>
      </x:c>
      <x:c r="M89" s="34" t="str">
        <x:v>Keeping processing local does not remove all data protection responsibilities because the organization that creates and distributes the model is still considered a controller. This means they determine the means and purposes of processing, even if the personal data involved in training is being processed on the user's device. The controller must assess the impact of their processing on individuals and demonstrate that there is a compelling benefit to the processing. Additionally, if the way they intend to use the data would be unexpected or cause unnecessary harm, they must take on additional responsibility for considering and protecting individuals' rights and interests.</x:v>
      </x:c>
      <x:c r="N89" s="42" t="n">
        <x:v>4</x:v>
      </x:c>
      <x:c r="O89" s="42" t="n">
        <x:v>3</x:v>
      </x:c>
      <x:c r="P89" s="42" t="n">
        <x:v>3</x:v>
      </x:c>
      <x:c r="Q89" s="42" t="n">
        <x:v>2</x:v>
      </x:c>
      <x:c r="R89" s="42" t="n">
        <x:v>4</x:v>
      </x:c>
      <x:c r="S89" s="42" t="n">
        <x:v>3</x:v>
      </x:c>
      <x:c r="T89" s="50" t="n">
        <x:f>IF(COUNT(N89:S89)=6,AVERAGE(N89:S89),"")</x:f>
        <x:v>3.1666666666666665</x:v>
      </x:c>
      <x:c r="U89" s="34" t="str">
        <x:v>AI draft note: Correctly says controller obligations and rights protection remain, but omits most concrete local-system duties in the expected answer.</x:v>
      </x:c>
      <x:c r="V89" s="52" t="str">
        <x:v>AI draft (Codex/GPT); human review required</x:v>
      </x:c>
      <x:c r="W89" s="54" t="str">
        <x:v>2026-06-29</x:v>
      </x:c>
      <x:c r="X89" s="58" t="str">
        <x:v>AI draft - needs human review</x:v>
      </x:c>
    </x:row>
    <x:row r="90" ht="84" customHeight="1">
      <x:c r="A90" s="34" t="str">
        <x:v>M4-Q006-R1</x:v>
      </x:c>
      <x:c r="B90" s="34" t="str">
        <x:v>M4</x:v>
      </x:c>
      <x:c r="C90" s="34" t="str">
        <x:v>Q006</x:v>
      </x:c>
      <x:c r="D90" s="34" t="str">
        <x:v>1</x:v>
      </x:c>
      <x:c r="E90" s="34" t="str">
        <x:v>D1</x:v>
      </x:c>
      <x:c r="F90" s="34" t="str">
        <x:v>RAG Paper</x:v>
      </x:c>
      <x:c r="G90" s="34" t="str">
        <x:v>comparison</x:v>
      </x:c>
      <x:c r="H90" s="34" t="str">
        <x:v>medium</x:v>
      </x:c>
      <x:c r="I90" s="34" t="str">
        <x:v>one_document</x:v>
      </x:c>
      <x:c r="J90" s="34" t="str">
        <x:v>What is the difference between generating from model parameters alone and generating with retrieved passages?</x:v>
      </x:c>
      <x:c r="K90" s="34" t="str">
        <x:v>A good answer should contrast closed-book generation with retrieval-augmented generation. Parametric-only generation relies on internal model weights, while RAG adds retrieved passages as evidence and context, allowing more specific and factual answers when retrieval succeeds.</x:v>
      </x:c>
      <x:c r="L90" s="34" t="str">
        <x:v>D1 Introduction; D1 Open-domain QA section; D1 Results sections 4.1-4.3</x:v>
      </x:c>
      <x:c r="M90" s="34" t="str">
        <x:v>The difference between generating from model parameters alone and generating with retrieved passages lies in the way the model incorporates additional context. When generating from model parameters alone, the model relies solely on the input sequence to generate the target sequence. This means that the model uses the input sequence to retrieve text documents and incorporates them as additional context when generating the target sequence. On the other hand, when generating with retrieved passages, the model uses the retrieved documents as additional context. The retrieved documents are treated as a single latent variable, and the model generates the output sequence probability for each document, which are then marginalized, resulting in a more comprehensive and context-rich output.</x:v>
      </x:c>
      <x:c r="N90" s="42" t="n">
        <x:v>4</x:v>
      </x:c>
      <x:c r="O90" s="42" t="n">
        <x:v>2</x:v>
      </x:c>
      <x:c r="P90" s="42" t="n">
        <x:v>3</x:v>
      </x:c>
      <x:c r="Q90" s="42" t="n">
        <x:v>3</x:v>
      </x:c>
      <x:c r="R90" s="42" t="n">
        <x:v>3</x:v>
      </x:c>
      <x:c r="S90" s="42" t="n">
        <x:v>3</x:v>
      </x:c>
      <x:c r="T90" s="50" t="n">
        <x:f>IF(COUNT(N90:S90)=6,AVERAGE(N90:S90),"")</x:f>
        <x:v>3</x:v>
      </x:c>
      <x:c r="U90" s="34" t="str">
        <x:v>AI draft note: Eventually describes retrieved passages as context, but initially reverses the parametric-only case and gives a confused contrast.</x:v>
      </x:c>
      <x:c r="V90" s="52" t="str">
        <x:v>AI draft (Codex/GPT); human review required</x:v>
      </x:c>
      <x:c r="W90" s="54" t="str">
        <x:v>2026-06-29</x:v>
      </x:c>
      <x:c r="X90" s="58" t="str">
        <x:v>AI draft - needs human review</x:v>
      </x:c>
    </x:row>
    <x:row r="91" ht="84" customHeight="1">
      <x:c r="A91" s="34" t="str">
        <x:v>M4-Q005-R1</x:v>
      </x:c>
      <x:c r="B91" s="34" t="str">
        <x:v>M4</x:v>
      </x:c>
      <x:c r="C91" s="34" t="str">
        <x:v>Q005</x:v>
      </x:c>
      <x:c r="D91" s="34" t="str">
        <x:v>1</x:v>
      </x:c>
      <x:c r="E91" s="34" t="str">
        <x:v>D1</x:v>
      </x:c>
      <x:c r="F91" s="34" t="str">
        <x:v>RAG Paper</x:v>
      </x:c>
      <x:c r="G91" s="34" t="str">
        <x:v>explanation</x:v>
      </x:c>
      <x:c r="H91" s="34" t="str">
        <x:v>medium</x:v>
      </x:c>
      <x:c r="I91" s="34" t="str">
        <x:v>one_document</x:v>
      </x:c>
      <x:c r="J91" s="34" t="str">
        <x:v>How can retrieval help a model access knowledge that is not stored in its parameters?</x:v>
      </x:c>
      <x:c r="K91" s="34" t="str">
        <x:v>A good answer should explain that retrieval lets the system look up information from an external index at inference time instead of relying only on memorised model parameters. The external index can also be replaced or updated more easily than model weights.</x:v>
      </x:c>
      <x:c r="L91" s="34" t="str">
        <x:v>D1 Introduction; D1 final paragraph of Introduction</x:v>
      </x:c>
      <x:c r="M91" s="34" t="str">
        <x:v>Relevant parts from the context:
1. "We explore RAG models, which use the input sequence to retrieve text documents z and use them as additional context when generating the target sequence y."
2. "As shown in Figure 1, our models leverage two components: (i) a retriever p(z|x) with parameters that returns (top-K truncated) distributions over text passages given a query x and (ii) a generator."
3. "They can do so without any access to an external memory, as a parameterized implicit knowledge base [51, 52]."
4. "While this development is exciting, such models do have downsides: They cannot easily expand or revise their memory, cant straightforwardly provide insight into their predictions, and may produce hallucinations [38]."
5. "Hybrid models that combine parametric memory with non-parametric (i.e., retrieval-based) memories [20, 26, 48] can address some of these issues because knowledge can be retrieved."
6. "We observe that the model learns to always retrieve a particular set of documents for questions that are less likely to benefit from retrieval, suggesting that null document mechanisms may not be necessary for RAG."
The answer is that retrieval can help a model access knowledge that is not stored in its parameters by providing additional context through the retrieval process. The model can use the retrieved text documents as additional information to generate the target sequence, even though the model's parameters do not directly store this knowledge.</x:v>
      </x:c>
      <x:c r="N91" s="42" t="n">
        <x:v>5</x:v>
      </x:c>
      <x:c r="O91" s="42" t="n">
        <x:v>4</x:v>
      </x:c>
      <x:c r="P91" s="42" t="n">
        <x:v>5</x:v>
      </x:c>
      <x:c r="Q91" s="42" t="n">
        <x:v>4</x:v>
      </x:c>
      <x:c r="R91" s="42" t="n">
        <x:v>5</x:v>
      </x:c>
      <x:c r="S91" s="42" t="n">
        <x:v>5</x:v>
      </x:c>
      <x:c r="T91" s="50" t="n">
        <x:f>IF(COUNT(N91:S91)=6,AVERAGE(N91:S91),"")</x:f>
        <x:v>4.666666666666667</x:v>
      </x:c>
      <x:c r="U91" s="34" t="str">
        <x:v>AI draft note: Strong source-grounded explanation of external retrieval and limitations of parametric memory; easier index replacement or updating is only implied.</x:v>
      </x:c>
      <x:c r="V91" s="52" t="str">
        <x:v>AI draft (Codex/GPT); human review required</x:v>
      </x:c>
      <x:c r="W91" s="54" t="str">
        <x:v>2026-06-29</x:v>
      </x:c>
      <x:c r="X91" s="58" t="str">
        <x:v>AI draft - needs human review</x:v>
      </x:c>
    </x:row>
    <x:row r="92" ht="84" customHeight="1">
      <x:c r="A92" s="34" t="str">
        <x:v>M4-Q009-R1</x:v>
      </x:c>
      <x:c r="B92" s="34" t="str">
        <x:v>M4</x:v>
      </x:c>
      <x:c r="C92" s="34" t="str">
        <x:v>Q009</x:v>
      </x:c>
      <x:c r="D92" s="34" t="str">
        <x:v>1</x:v>
      </x:c>
      <x:c r="E92" s="34" t="str">
        <x:v>D1</x:v>
      </x:c>
      <x:c r="F92" s="34" t="str">
        <x:v>RAG Paper</x:v>
      </x:c>
      <x:c r="G92" s="34" t="str">
        <x:v>explanation</x:v>
      </x:c>
      <x:c r="H92" s="34" t="str">
        <x:v>medium</x:v>
      </x:c>
      <x:c r="I92" s="34" t="str">
        <x:v>one_document</x:v>
      </x:c>
      <x:c r="J92" s="34" t="str">
        <x:v>Why is grounding an answer in retrieved evidence useful for reducing unsupported claims?</x:v>
      </x:c>
      <x:c r="K92" s="34" t="str">
        <x:v>A good answer should explain that retrieved evidence gives the generator relevant factual context and gives the evaluator material to compare against. It should not claim grounding fully eliminates hallucination; it reduces risk when retrieval and generation work correctly.</x:v>
      </x:c>
      <x:c r="L92" s="34" t="str">
        <x:v>D1 Introduction; D1 Results section 4.2; D1 Table 3 discussion</x:v>
      </x:c>
      <x:c r="M92" s="34" t="str">
        <x:v>Grounding an answer in retrieved evidence is useful for reducing unsupported claims because it provides a basis for evaluating the accuracy of the AI system's conclusions. When the AI system is evaluated against real-world data, such as medical diagnostic outcomes, it can be compared to known patient outcomes. This allows for a more accurate assessment of the system's performance and helps identify any unsupported claims or inaccuracies in the inference.</x:v>
      </x:c>
      <x:c r="N92" s="42" t="n">
        <x:v>3</x:v>
      </x:c>
      <x:c r="O92" s="42" t="n">
        <x:v>3</x:v>
      </x:c>
      <x:c r="P92" s="42" t="n">
        <x:v>3</x:v>
      </x:c>
      <x:c r="Q92" s="42" t="n">
        <x:v>2</x:v>
      </x:c>
      <x:c r="R92" s="42" t="n">
        <x:v>4</x:v>
      </x:c>
      <x:c r="S92" s="42" t="n">
        <x:v>3</x:v>
      </x:c>
      <x:c r="T92" s="50" t="n">
        <x:f>IF(COUNT(N92:S92)=6,AVERAGE(N92:S92),"")</x:f>
        <x:v>3</x:v>
      </x:c>
      <x:c r="U92" s="34" t="str">
        <x:v>AI draft note: Explains evidence comparison, but focuses on outcome evaluation rather than retrieved context for generation and omits the remaining hallucination risk.</x:v>
      </x:c>
      <x:c r="V92" s="52" t="str">
        <x:v>AI draft (Codex/GPT); human review required</x:v>
      </x:c>
      <x:c r="W92" s="54" t="str">
        <x:v>2026-06-29</x:v>
      </x:c>
      <x:c r="X92" s="58" t="str">
        <x:v>AI draft - needs human review</x:v>
      </x:c>
    </x:row>
    <x:row r="93" ht="84" customHeight="1">
      <x:c r="A93" s="34" t="str">
        <x:v>R9-Q002-R1</x:v>
      </x:c>
      <x:c r="B93" s="34" t="str">
        <x:v>R9</x:v>
      </x:c>
      <x:c r="C93" s="34" t="str">
        <x:v>Q002</x:v>
      </x:c>
      <x:c r="D93" s="34" t="str">
        <x:v>1</x:v>
      </x:c>
      <x:c r="E93" s="34" t="str">
        <x:v>D1</x:v>
      </x:c>
      <x:c r="F93" s="34" t="str">
        <x:v>RAG Paper</x:v>
      </x:c>
      <x:c r="G93" s="34" t="str">
        <x:v>explanation</x:v>
      </x:c>
      <x:c r="H93" s="34" t="str">
        <x:v>medium</x:v>
      </x:c>
      <x:c r="I93" s="34" t="str">
        <x:v>one_document</x:v>
      </x:c>
      <x:c r="J93" s="34" t="str">
        <x:v>How does RAG combine parametric memory and non-parametric memory?</x:v>
      </x:c>
      <x:c r="K93" s="34" t="str">
        <x:v>A good answer should explain that parametric memory is the pre-trained generator model, while non-parametric memory is an external retrieved document index. The retriever selects relevant passages and the generator conditions on the question plus retrieved passages to produce an answer.</x:v>
      </x:c>
      <x:c r="L93" s="34" t="str">
        <x:v>D1 abstract; D1 Introduction; D1 Methods section 2</x:v>
      </x:c>
      <x:c r="M93" s="34" t="str">
        <x:v>RAG combines parametric memory and non-parametric memory by leveraging two components: a retriever that returns (top-K truncated) distributions over text passages given a query, and a generator that uses these retrieved documents as additional context when generating the target sequence.</x:v>
      </x:c>
      <x:c r="N93" s="42" t="n">
        <x:v>5</x:v>
      </x:c>
      <x:c r="O93" s="42" t="n">
        <x:v>5</x:v>
      </x:c>
      <x:c r="P93" s="42" t="n">
        <x:v>5</x:v>
      </x:c>
      <x:c r="Q93" s="42" t="n">
        <x:v>4</x:v>
      </x:c>
      <x:c r="R93" s="42" t="n">
        <x:v>5</x:v>
      </x:c>
      <x:c r="S93" s="42" t="n">
        <x:v>5</x:v>
      </x:c>
      <x:c r="T93" s="50" t="n">
        <x:f>IF(COUNT(N93:S93)=6,AVERAGE(N93:S93),"")</x:f>
        <x:v>4.833333333333333</x:v>
      </x:c>
      <x:c r="U93" s="34" t="str">
        <x:v>AI draft note: Accurately describes retriever, external passages, query, and generator conditioning; it only leaves the parametric-generator label implicit.</x:v>
      </x:c>
      <x:c r="V93" s="52" t="str">
        <x:v>AI draft (Codex/GPT); human review required</x:v>
      </x:c>
      <x:c r="W93" s="54" t="str">
        <x:v>2026-06-29</x:v>
      </x:c>
      <x:c r="X93" s="58" t="str">
        <x:v>AI draft - needs human review</x:v>
      </x:c>
    </x:row>
    <x:row r="94" ht="84" customHeight="1">
      <x:c r="A94" s="34" t="str">
        <x:v>M4-Q027-R1</x:v>
      </x:c>
      <x:c r="B94" s="34" t="str">
        <x:v>M4</x:v>
      </x:c>
      <x:c r="C94" s="34" t="str">
        <x:v>Q027</x:v>
      </x:c>
      <x:c r="D94" s="34" t="str">
        <x:v>1</x:v>
      </x:c>
      <x:c r="E94" s="34" t="str">
        <x:v>D3</x:v>
      </x:c>
      <x:c r="F94" s="34" t="str">
        <x:v>NIST AI RMF</x:v>
      </x:c>
      <x:c r="G94" s="34" t="str">
        <x:v>boundary_limitation</x:v>
      </x:c>
      <x:c r="H94" s="34" t="str">
        <x:v>hard</x:v>
      </x:c>
      <x:c r="I94" s="34" t="str">
        <x:v>one_document</x:v>
      </x:c>
      <x:c r="J94" s="34" t="str">
        <x:v>Why should an AI system be evaluated for limitations as well as capabilities?</x:v>
      </x:c>
      <x:c r="K94" s="34" t="str">
        <x:v>A good answer should explain that risk depends on context, uncertainty, negative impacts, and limitations, not only successful outputs. Evaluating limitations helps avoid overclaiming and supports responsible deployment decisions.</x:v>
      </x:c>
      <x:c r="L94" s="34" t="str">
        <x:v>D3 AI RMF Framing Risk; D3 Challenges for AI Risk Management; D3 Human-AI Interaction appendix</x:v>
      </x:c>
      <x:c r="M94" s="34" t="str">
        <x:v>An AI system should be evaluated for limitations as well as capabilities because it is important to understand the boundaries and potential drawbacks of the system. By identifying limitations, we can better assess the system's potential negative impacts and ensure that it is used responsibly. Additionally, understanding limitations helps in anticipating risks and developing strategies to mitigate potential harms.</x:v>
      </x:c>
      <x:c r="N94" s="42" t="n">
        <x:v>5</x:v>
      </x:c>
      <x:c r="O94" s="42" t="n">
        <x:v>4</x:v>
      </x:c>
      <x:c r="P94" s="42" t="n">
        <x:v>4</x:v>
      </x:c>
      <x:c r="Q94" s="42" t="n">
        <x:v>4</x:v>
      </x:c>
      <x:c r="R94" s="42" t="n">
        <x:v>5</x:v>
      </x:c>
      <x:c r="S94" s="42" t="n">
        <x:v>4</x:v>
      </x:c>
      <x:c r="T94" s="50" t="n">
        <x:f>IF(COUNT(N94:S94)=6,AVERAGE(N94:S94),"")</x:f>
        <x:v>4.333333333333333</x:v>
      </x:c>
      <x:c r="U94" s="34" t="str">
        <x:v>AI draft note: Clearly covers boundaries, negative impacts, responsible use, risks, and mitigation; context, uncertainty, and avoiding overclaiming could be explicit.</x:v>
      </x:c>
      <x:c r="V94" s="52" t="str">
        <x:v>AI draft (Codex/GPT); human review required</x:v>
      </x:c>
      <x:c r="W94" s="54" t="str">
        <x:v>2026-06-29</x:v>
      </x:c>
      <x:c r="X94" s="58" t="str">
        <x:v>AI draft - needs human review</x:v>
      </x:c>
    </x:row>
    <x:row r="95" ht="84" customHeight="1">
      <x:c r="A95" s="34" t="str">
        <x:v>F3-Q026-R1</x:v>
      </x:c>
      <x:c r="B95" s="34" t="str">
        <x:v>F3</x:v>
      </x:c>
      <x:c r="C95" s="34" t="str">
        <x:v>Q026</x:v>
      </x:c>
      <x:c r="D95" s="34" t="str">
        <x:v>1</x:v>
      </x:c>
      <x:c r="E95" s="34" t="str">
        <x:v>D3</x:v>
      </x:c>
      <x:c r="F95" s="34" t="str">
        <x:v>NIST AI RMF</x:v>
      </x:c>
      <x:c r="G95" s="34" t="str">
        <x:v>source_grounded_synthesis</x:v>
      </x:c>
      <x:c r="H95" s="34" t="str">
        <x:v>hard</x:v>
      </x:c>
      <x:c r="I95" s="34" t="str">
        <x:v>one_document</x:v>
      </x:c>
      <x:c r="J95" s="34" t="str">
        <x:v>How could the AI RMF support the privacy discussion in this dissertation?</x:v>
      </x:c>
      <x:c r="K95" s="34" t="str">
        <x:v>A good answer should link privacy to trustworthiness and risk management. It should say that privacy-enhanced AI is one trustworthiness characteristic, and that local deployment should still be assessed for risks, controls, and trade-offs.</x:v>
      </x:c>
      <x:c r="L95" s="34" t="str">
        <x:v>D3 AI RMF section 3.6 Privacy-Enhanced; D3 AI RMF Core</x:v>
      </x:c>
      <x:c r="M95" s="34" t="str">
        <x:v>The AI RMF could facilitate the discussion on privacy in the context of the dissertation by providing clear, accessible language and terminology that are understandable by a broad audience. It should also offer a taxonomy, terminology, definitions, metrics, and characterizations for AI risks, allowing for a comprehensive understanding of the potential harms and benefits of AI. The framework should be easily usable and fit well with other aspects of risk management, making it an ideal tool for discussing privacy concerns. Additionally, it should be regularly updated through an open, transparent process, ensuring that the AI RMF remains relevant and useful to practitioners.</x:v>
      </x:c>
      <x:c r="N95" s="42" t="n">
        <x:v>3</x:v>
      </x:c>
      <x:c r="O95" s="42" t="n">
        <x:v>3</x:v>
      </x:c>
      <x:c r="P95" s="42" t="n">
        <x:v>3</x:v>
      </x:c>
      <x:c r="Q95" s="42" t="n">
        <x:v>2</x:v>
      </x:c>
      <x:c r="R95" s="42" t="n">
        <x:v>5</x:v>
      </x:c>
      <x:c r="S95" s="42" t="n">
        <x:v>3</x:v>
      </x:c>
      <x:c r="T95" s="50" t="n">
        <x:f>IF(COUNT(N95:S95)=6,AVERAGE(N95:S95),"")</x:f>
        <x:v>3.1666666666666665</x:v>
      </x:c>
      <x:c r="U95" s="34" t="str">
        <x:v>AI draft note: Useful risk-language framework, but it omits privacy-enhanced trustworthiness and local deployment controls and trade-offs.</x:v>
      </x:c>
      <x:c r="V95" s="52" t="str">
        <x:v>AI draft (Codex/GPT); human review required</x:v>
      </x:c>
      <x:c r="W95" s="54" t="str">
        <x:v>2026-06-29</x:v>
      </x:c>
      <x:c r="X95" s="58" t="str">
        <x:v>AI draft - needs human review</x:v>
      </x:c>
    </x:row>
    <x:row r="96" ht="84" customHeight="1">
      <x:c r="A96" s="34" t="str">
        <x:v>T2-Q002-R1</x:v>
      </x:c>
      <x:c r="B96" s="34" t="str">
        <x:v>T2</x:v>
      </x:c>
      <x:c r="C96" s="34" t="str">
        <x:v>Q002</x:v>
      </x:c>
      <x:c r="D96" s="34" t="str">
        <x:v>1</x:v>
      </x:c>
      <x:c r="E96" s="34" t="str">
        <x:v>D1</x:v>
      </x:c>
      <x:c r="F96" s="34" t="str">
        <x:v>RAG Paper</x:v>
      </x:c>
      <x:c r="G96" s="34" t="str">
        <x:v>explanation</x:v>
      </x:c>
      <x:c r="H96" s="34" t="str">
        <x:v>medium</x:v>
      </x:c>
      <x:c r="I96" s="34" t="str">
        <x:v>one_document</x:v>
      </x:c>
      <x:c r="J96" s="34" t="str">
        <x:v>How does RAG combine parametric memory and non-parametric memory?</x:v>
      </x:c>
      <x:c r="K96" s="34" t="str">
        <x:v>A good answer should explain that parametric memory is the pre-trained generator model, while non-parametric memory is an external retrieved document index. The retriever selects relevant passages and the generator conditions on the question plus retrieved passages to produce an answer.</x:v>
      </x:c>
      <x:c r="L96" s="34" t="str">
        <x:v>D1 abstract; D1 Introduction; D1 Methods section 2</x:v>
      </x:c>
      <x:c r="M96" s="34" t="str">
        <x:v>RAG (Retrieved Attention Guidance) combines parametric memory and non-parametric memory in a hybrid approach. 
In RAG models, the retrieval process involves two main components:
1. **Retrieval supervision**: This is where the model retrieves text documents from a database or other sources. This is a parametric memory component, as it uses pre-trained models or learned representations to retrieve relevant text.
2. **Attention guidance**: Once the model has retrieved a set of relevant documents, it uses attention mechanisms to focus on the most relevant documents. This is a non-parametric memory component, as it uses attention mechanisms to selectively focus on certain documents without relying on explicit parameters.
By combining these two components, RAG models can leverage the strengths of both parametric and non-parametric memory, allowing them to learn more effective representations of the input sequence and improve their performance on tasks like question answering (QA).</x:v>
      </x:c>
      <x:c r="N96" s="42" t="n">
        <x:v>3</x:v>
      </x:c>
      <x:c r="O96" s="42" t="n">
        <x:v>1</x:v>
      </x:c>
      <x:c r="P96" s="42" t="n">
        <x:v>1</x:v>
      </x:c>
      <x:c r="Q96" s="42" t="n">
        <x:v>2</x:v>
      </x:c>
      <x:c r="R96" s="42" t="n">
        <x:v>1</x:v>
      </x:c>
      <x:c r="S96" s="42" t="n">
        <x:v>1</x:v>
      </x:c>
      <x:c r="T96" s="50" t="n">
        <x:f>IF(COUNT(N96:S96)=6,AVERAGE(N96:S96),"")</x:f>
        <x:v>1.5</x:v>
      </x:c>
      <x:c r="U96" s="34" t="str">
        <x:v>AI draft note: Mis-expands RAG and reverses or confuses parametric and non-parametric roles; the answer truncates before a valid combination explanation.</x:v>
      </x:c>
      <x:c r="V96" s="52" t="str">
        <x:v>AI draft (Codex/GPT); human review required</x:v>
      </x:c>
      <x:c r="W96" s="54" t="str">
        <x:v>2026-06-29</x:v>
      </x:c>
      <x:c r="X96" s="58" t="str">
        <x:v>AI draft - needs human review</x:v>
      </x:c>
    </x:row>
    <x:row r="97" ht="84" customHeight="1">
      <x:c r="A97" s="34" t="str">
        <x:v>M4-Q034-R1</x:v>
      </x:c>
      <x:c r="B97" s="34" t="str">
        <x:v>M4</x:v>
      </x:c>
      <x:c r="C97" s="34" t="str">
        <x:v>Q034</x:v>
      </x:c>
      <x:c r="D97" s="34" t="str">
        <x:v>1</x:v>
      </x:c>
      <x:c r="E97" s="34" t="str">
        <x:v>D4</x:v>
      </x:c>
      <x:c r="F97" s="34" t="str">
        <x:v>ICO AI Data Protection Guidance</x:v>
      </x:c>
      <x:c r="G97" s="34" t="str">
        <x:v>explanation</x:v>
      </x:c>
      <x:c r="H97" s="34" t="str">
        <x:v>medium</x:v>
      </x:c>
      <x:c r="I97" s="34" t="str">
        <x:v>one_document</x:v>
      </x:c>
      <x:c r="J97" s="34" t="str">
        <x:v>How do security and data minimisation relate to AI deployment?</x:v>
      </x:c>
      <x:c r="K97" s="34" t="str">
        <x:v>A good answer should state that AI systems can worsen security risks and make data minimisation harder. Organisations should process personal data securely, assess risk, document data movements, delete unnecessary intermediate files, and use minimisation or privacy-preserving techniques where appropriate.</x:v>
      </x:c>
      <x:c r="L97" s="34" t="str">
        <x:v>D4 ICO security and data minimisation chapter</x:v>
      </x:c>
      <x:c r="M97" s="34" t="str">
        <x:v>Security and data minimisation are crucial aspects when deploying AI systems. AI can introduce new security risks, making it harder to manage these risks effectively. The data minimisation principle aims to reduce the amount of personal data processed, ensuring appropriate levels of security and ensuring the data is fit for purpose. Techniques are presented to help with both data minimisation and effective AI development and deployment. This section is aimed at technical professionals associated with security and data minimisation in AI.</x:v>
      </x:c>
      <x:c r="N97" s="42" t="n">
        <x:v>4</x:v>
      </x:c>
      <x:c r="O97" s="42" t="n">
        <x:v>4</x:v>
      </x:c>
      <x:c r="P97" s="42" t="n">
        <x:v>4</x:v>
      </x:c>
      <x:c r="Q97" s="42" t="n">
        <x:v>3</x:v>
      </x:c>
      <x:c r="R97" s="42" t="n">
        <x:v>5</x:v>
      </x:c>
      <x:c r="S97" s="42" t="n">
        <x:v>4</x:v>
      </x:c>
      <x:c r="T97" s="50" t="n">
        <x:f>IF(COUNT(N97:S97)=6,AVERAGE(N97:S97),"")</x:f>
        <x:v>4</x:v>
      </x:c>
      <x:c r="U97" s="34" t="str">
        <x:v>AI draft note: Correctly links added security risk and minimisation difficulty, but omits data-flow documentation, deleting intermediate files, and concrete controls.</x:v>
      </x:c>
      <x:c r="V97" s="52" t="str">
        <x:v>AI draft (Codex/GPT); human review required</x:v>
      </x:c>
      <x:c r="W97" s="54" t="str">
        <x:v>2026-06-29</x:v>
      </x:c>
      <x:c r="X97" s="58" t="str">
        <x:v>AI draft - needs human review</x:v>
      </x:c>
    </x:row>
    <x:row r="98" ht="84" customHeight="1">
      <x:c r="A98" s="34" t="str">
        <x:v>M4-Q010-R1</x:v>
      </x:c>
      <x:c r="B98" s="34" t="str">
        <x:v>M4</x:v>
      </x:c>
      <x:c r="C98" s="34" t="str">
        <x:v>Q010</x:v>
      </x:c>
      <x:c r="D98" s="34" t="str">
        <x:v>1</x:v>
      </x:c>
      <x:c r="E98" s="34" t="str">
        <x:v>D1</x:v>
      </x:c>
      <x:c r="F98" s="34" t="str">
        <x:v>RAG Paper</x:v>
      </x:c>
      <x:c r="G98" s="34" t="str">
        <x:v>source_grounded_synthesis</x:v>
      </x:c>
      <x:c r="H98" s="34" t="str">
        <x:v>hard</x:v>
      </x:c>
      <x:c r="I98" s="34" t="str">
        <x:v>one_document</x:v>
      </x:c>
      <x:c r="J98" s="34" t="str">
        <x:v>What does RAG add to a standard language generation system?</x:v>
      </x:c>
      <x:c r="K98" s="34" t="str">
        <x:v>A good answer should say that RAG adds an external retrieval component and a document index to a generator. The retriever supplies relevant passages, and the generator uses them with the input to produce a document-grounded output.</x:v>
      </x:c>
      <x:c r="L98" s="34" t="str">
        <x:v>D1 Figure 1; D1 Methods section 2</x:v>
      </x:c>
      <x:c r="M98" s="34" t="str">
        <x:v>RAG adds a retrieval mechanism that learns to retrieve relevant information for the task during training. This improves the effectiveness of the generation model across various tasks. RAGs dense retriever outperforms a word overlap-based retrieval mechanism in 7.1% of cases, while RAG is more factual in 42.7% of cases, demonstrating its superiority over state-of-the-art generation models. Additionally, RAG generates more specific and factually accurate responses compared to other models.</x:v>
      </x:c>
      <x:c r="N98" s="42" t="n">
        <x:v>4</x:v>
      </x:c>
      <x:c r="O98" s="42" t="n">
        <x:v>3</x:v>
      </x:c>
      <x:c r="P98" s="42" t="n">
        <x:v>3</x:v>
      </x:c>
      <x:c r="Q98" s="42" t="n">
        <x:v>3</x:v>
      </x:c>
      <x:c r="R98" s="42" t="n">
        <x:v>3</x:v>
      </x:c>
      <x:c r="S98" s="42" t="n">
        <x:v>3</x:v>
      </x:c>
      <x:c r="T98" s="50" t="n">
        <x:f>IF(COUNT(N98:S98)=6,AVERAGE(N98:S98),"")</x:f>
        <x:v>3.1666666666666665</x:v>
      </x:c>
      <x:c r="U98" s="34" t="str">
        <x:v>AI draft note: Identifies a retrieval mechanism and factual benefits, but does not clearly describe the document index, supplied passages, and generator conditioning.</x:v>
      </x:c>
      <x:c r="V98" s="52" t="str">
        <x:v>AI draft (Codex/GPT); human review required</x:v>
      </x:c>
      <x:c r="W98" s="54" t="str">
        <x:v>2026-06-29</x:v>
      </x:c>
      <x:c r="X98" s="58" t="str">
        <x:v>AI draft - needs human review</x:v>
      </x:c>
    </x:row>
    <x:row r="99" ht="84" customHeight="1">
      <x:c r="A99" s="34" t="str">
        <x:v>F3-Q001-R1</x:v>
      </x:c>
      <x:c r="B99" s="34" t="str">
        <x:v>F3</x:v>
      </x:c>
      <x:c r="C99" s="34" t="str">
        <x:v>Q001</x:v>
      </x:c>
      <x:c r="D99" s="34" t="str">
        <x:v>1</x:v>
      </x:c>
      <x:c r="E99" s="34" t="str">
        <x:v>D1</x:v>
      </x:c>
      <x:c r="F99" s="34" t="str">
        <x:v>RAG Paper</x:v>
      </x:c>
      <x:c r="G99" s="34" t="str">
        <x:v>fact_retrieval</x:v>
      </x:c>
      <x:c r="H99" s="34" t="str">
        <x:v>easy</x:v>
      </x:c>
      <x:c r="I99" s="34" t="str">
        <x:v>one_document</x:v>
      </x:c>
      <x:c r="J99" s="34" t="str">
        <x:v>What problem does retrieval-augmented generation try to address in knowledge-intensive NLP tasks?</x:v>
      </x:c>
      <x:c r="K99" s="34" t="str">
        <x:v>A good answer should say that RAG addresses limitations of parametric-only language models on knowledge-intensive tasks: difficulty accessing precise external knowledge, updating knowledge, giving provenance, and avoiding unsupported generation. It should mention that RAG adds retrieval from an explicit knowledge source to generation.</x:v>
      </x:c>
      <x:c r="L99" s="34" t="str">
        <x:v>D1 abstract; D1 Introduction</x:v>
      </x:c>
      <x:c r="M99" s="34" t="str">
        <x:v>Retrieval-augmented generation aims to address the problem of knowledge-intensive NLP tasks by leveraging the stored factual knowledge in pre-trained language models. The context mentions that large pre-trained language models have been shown to store factual knowledge in their parameters and achieve state-of-the-art results when tuned on downstream NLP tasks. The paper also discusses the retrieval-augmented generation for knowledge-intensive NLP tasks, including open-domain QA, RAG-Token models, RAG-Sequence models, and Open-MSMarco and Jeopardy question generation. The context mentions that retrieval improves performance across a variety of NLP tasks when considered in isolation, and the paper reports test numbers using 15 retrieved documents for RAG-Token models and 50 retrieved documents for RAG-Sequence models. The context also mentions that the Thorough Decoding approach is used since answers are generally short. The paper uses greedy decoding for QA as it did not find beam search improved results. The context mentions that right: MS-MARCO Bleu-1 and Rouge-L as more documents are retrieved.</x:v>
      </x:c>
      <x:c r="N99" s="42" t="n">
        <x:v>3</x:v>
      </x:c>
      <x:c r="O99" s="42" t="n">
        <x:v>2</x:v>
      </x:c>
      <x:c r="P99" s="42" t="n">
        <x:v>2</x:v>
      </x:c>
      <x:c r="Q99" s="42" t="n">
        <x:v>2</x:v>
      </x:c>
      <x:c r="R99" s="42" t="n">
        <x:v>3</x:v>
      </x:c>
      <x:c r="S99" s="42" t="n">
        <x:v>2</x:v>
      </x:c>
      <x:c r="T99" s="50" t="n">
        <x:f>IF(COUNT(N99:S99)=6,AVERAGE(N99:S99),"")</x:f>
        <x:v>2.3333333333333335</x:v>
      </x:c>
      <x:c r="U99" s="34" t="str">
        <x:v>AI draft note: Discusses knowledge-intensive tasks but incorrectly centres stored parametric knowledge and does not clearly explain the external-retrieval solution or key limitations.</x:v>
      </x:c>
      <x:c r="V99" s="52" t="str">
        <x:v>AI draft (Codex/GPT); human review required</x:v>
      </x:c>
      <x:c r="W99" s="54" t="str">
        <x:v>2026-06-29</x:v>
      </x:c>
      <x:c r="X99" s="58" t="str">
        <x:v>AI draft - needs human review</x:v>
      </x:c>
    </x:row>
    <x:row r="100" ht="84" customHeight="1">
      <x:c r="A100" s="34" t="str">
        <x:v>F3-Q003-R1</x:v>
      </x:c>
      <x:c r="B100" s="34" t="str">
        <x:v>F3</x:v>
      </x:c>
      <x:c r="C100" s="34" t="str">
        <x:v>Q003</x:v>
      </x:c>
      <x:c r="D100" s="34" t="str">
        <x:v>1</x:v>
      </x:c>
      <x:c r="E100" s="34" t="str">
        <x:v>D1</x:v>
      </x:c>
      <x:c r="F100" s="34" t="str">
        <x:v>RAG Paper</x:v>
      </x:c>
      <x:c r="G100" s="34" t="str">
        <x:v>explanation</x:v>
      </x:c>
      <x:c r="H100" s="34" t="str">
        <x:v>medium</x:v>
      </x:c>
      <x:c r="I100" s="34" t="str">
        <x:v>one_document</x:v>
      </x:c>
      <x:c r="J100" s="34" t="str">
        <x:v>Why is provenance important in a question-answering system?</x:v>
      </x:c>
      <x:c r="K100" s="34" t="str">
        <x:v>A good answer should connect provenance to knowing where an answer came from. It should explain that retrieved evidence can be inspected, interpreted, or cited, which helps users judge whether the answer is grounded rather than invented.</x:v>
      </x:c>
      <x:c r="L100" s="34" t="str">
        <x:v>D1 abstract; D1 Introduction</x:v>
      </x:c>
      <x:c r="M100" s="34" t="str">
        <x:v>Petr Baudi and Jan ediv`y. Modeling of the question answering task in the yodaqa system. In International Conference of the Cross-Language Evaluation Forum for European Languages, pages 222228. Springer, 2015. URL https://link.springer.com/chapter/10.1007% 2F978-3-319-24027-5_20 . [3] Jonathan Berant, Andrew Chou, Roy Frostig, and Percy Liang. Semantic Parsing on Freebase from Question-Answer Pairs. In Proceedings of the 2013 Conference on Empirical Methods in Natural Language Processing, pages 222228. Right: MS-MARCO Bleu-1 and Rouge-L as more documents are retrieved. 5 Related Work Single-Task Retrieval Prior work has shown that retrieval improves performance across a variety of NLP tasks when considered in isolation. Such tasks include open-domain question answering [5, 29], fact checking [ 56], fact completion [ 48], long-form question answering [ 12], Wikipedia article generation [36], dialogue [ 41, 65, 9, 13], translation [ 17], and language modeling [ 19, 27]. Our work unies factuality, and one for specicity. We dene factuality as whether a statement can be corroborated by trusted external sources, and specicity as high mutual dependence between the input and output [ 33]. We follow best practice and use pairwise comparative evaluation [34]. Evaluators are shown an answer and two generated questions, one from BART and one from RAG. They are then asked to pick one of four options: question A is better, question B is better, both are good, or neither is good. 3.4 Fact Verification
    Question: Why is provenance important in a question-answering system?
    Answer: Provenance is crucial in a question-answering system because it provides context and ensures the accuracy of the information being provided. It helps to verify the reliability of the input data, which is essential for accurate and reliable answers. Provenance also ensures that the output is consistent with the input, which is important for the overall quality of the system.</x:v>
      </x:c>
      <x:c r="N100" s="42" t="n">
        <x:v>0</x:v>
      </x:c>
      <x:c r="O100" s="42" t="n">
        <x:v>0</x:v>
      </x:c>
      <x:c r="P100" s="42" t="n">
        <x:v>0</x:v>
      </x:c>
      <x:c r="Q100" s="42" t="n">
        <x:v>0</x:v>
      </x:c>
      <x:c r="R100" s="42" t="n">
        <x:v>1</x:v>
      </x:c>
      <x:c r="S100" s="42" t="n">
        <x:v>0</x:v>
      </x:c>
      <x:c r="T100" s="50" t="n">
        <x:f>IF(COUNT(N100:S100)=6,AVERAGE(N100:S100),"")</x:f>
        <x:v>0.16666666666666666</x:v>
      </x:c>
      <x:c r="U100" s="34" t="str">
        <x:v>AI draft note: Outputs bibliography and unrelated evaluation text rather than explaining provenance, inspectable evidence, citation, or groundedness.</x:v>
      </x:c>
      <x:c r="V100" s="52" t="str">
        <x:v>AI draft (Codex/GPT); human review required</x:v>
      </x:c>
      <x:c r="W100" s="54" t="str">
        <x:v>2026-06-29</x:v>
      </x:c>
      <x:c r="X100" s="58" t="str">
        <x:v>AI draft - needs human review</x:v>
      </x:c>
    </x:row>
    <x:row r="101" ht="84" customHeight="1">
      <x:c r="A101" s="34" t="str">
        <x:v>K8-Q015-R1</x:v>
      </x:c>
      <x:c r="B101" s="34" t="str">
        <x:v>K8</x:v>
      </x:c>
      <x:c r="C101" s="34" t="str">
        <x:v>Q015</x:v>
      </x:c>
      <x:c r="D101" s="34" t="str">
        <x:v>1</x:v>
      </x:c>
      <x:c r="E101" s="34" t="str">
        <x:v>D2</x:v>
      </x:c>
      <x:c r="F101" s="34" t="str">
        <x:v>llama.cpp README</x:v>
      </x:c>
      <x:c r="G101" s="34" t="str">
        <x:v>fact_retrieval</x:v>
      </x:c>
      <x:c r="H101" s="34" t="str">
        <x:v>easy</x:v>
      </x:c>
      <x:c r="I101" s="34" t="str">
        <x:v>one_document</x:v>
      </x:c>
      <x:c r="J101" s="34" t="str">
        <x:v>What is the purpose of running llama-server rather than only a command-line model?</x:v>
      </x:c>
      <x:c r="K101" s="34" t="str">
        <x:v>A good answer should say that llama-server starts a local HTTP server for serving the model, including a web UI and chat completion endpoint, so other applications such as a backend can call it over HTTP.</x:v>
      </x:c>
      <x:c r="L101" s="34" t="str">
        <x:v>D2 README llama-server section</x:v>
      </x:c>
      <x:c r="M101" s="34" t="str">
        <x:v>The purpose of running llama-server rather than only a command-line model is to enable multiple users and parallel decoding. It allows for the use of the CLI tools to run the model locally, see below. It requires the model to be stored in the GGUF file format, and models in other data formats can be converted to GGUF using Python scripts in this repo. The Hugging Face platform provides a variety of online tools for converting, quantizing, and hosting models with the model: - Use the GGUF-my-repo space to convert to GGUF format and quantize model weights to smaller sizes - Use the GGUF-my-LoRA space to convert LoRA adapters to smaller sizes.</x:v>
      </x:c>
      <x:c r="N101" s="42" t="n">
        <x:v>2</x:v>
      </x:c>
      <x:c r="O101" s="42" t="n">
        <x:v>2</x:v>
      </x:c>
      <x:c r="P101" s="42" t="n">
        <x:v>3</x:v>
      </x:c>
      <x:c r="Q101" s="42" t="n">
        <x:v>2</x:v>
      </x:c>
      <x:c r="R101" s="42" t="n">
        <x:v>3</x:v>
      </x:c>
      <x:c r="S101" s="42" t="n">
        <x:v>3</x:v>
      </x:c>
      <x:c r="T101" s="50" t="n">
        <x:f>IF(COUNT(N101:S101)=6,AVERAGE(N101:S101),"")</x:f>
        <x:v>2.5</x:v>
      </x:c>
      <x:c r="U101" s="34" t="str">
        <x:v>AI draft note: Mentions multiple users but mostly discusses GGUF conversion; it omits the central local HTTP server, web UI, endpoint, and backend access.</x:v>
      </x:c>
      <x:c r="V101" s="52" t="str">
        <x:v>AI draft (Codex/GPT); human review required</x:v>
      </x:c>
      <x:c r="W101" s="54" t="str">
        <x:v>2026-06-29</x:v>
      </x:c>
      <x:c r="X101" s="58" t="str">
        <x:v>AI draft - needs human review</x:v>
      </x:c>
    </x:row>
    <x:row r="102" ht="84" customHeight="1">
      <x:c r="A102" s="34" t="str">
        <x:v>A7-Q026-R1</x:v>
      </x:c>
      <x:c r="B102" s="34" t="str">
        <x:v>A7</x:v>
      </x:c>
      <x:c r="C102" s="34" t="str">
        <x:v>Q026</x:v>
      </x:c>
      <x:c r="D102" s="34" t="str">
        <x:v>1</x:v>
      </x:c>
      <x:c r="E102" s="34" t="str">
        <x:v>D3</x:v>
      </x:c>
      <x:c r="F102" s="34" t="str">
        <x:v>NIST AI RMF</x:v>
      </x:c>
      <x:c r="G102" s="34" t="str">
        <x:v>source_grounded_synthesis</x:v>
      </x:c>
      <x:c r="H102" s="34" t="str">
        <x:v>hard</x:v>
      </x:c>
      <x:c r="I102" s="34" t="str">
        <x:v>one_document</x:v>
      </x:c>
      <x:c r="J102" s="34" t="str">
        <x:v>How could the AI RMF support the privacy discussion in this dissertation?</x:v>
      </x:c>
      <x:c r="K102" s="34" t="str">
        <x:v>A good answer should link privacy to trustworthiness and risk management. It should say that privacy-enhanced AI is one trustworthiness characteristic, and that local deployment should still be assessed for risks, controls, and trade-offs.</x:v>
      </x:c>
      <x:c r="L102" s="34" t="str">
        <x:v>D3 AI RMF section 3.6 Privacy-Enhanced; D3 AI RMF Core</x:v>
      </x:c>
      <x:c r="M102" s="34" t="str">
        <x:v>Okay, let’s break down how the AI RMF could support the privacy discussion within the dissertation.
The AI RMF, as outlined in the context, has the potential to significantly enhance the privacy discussion surrounding AI technologies. Here’s a breakdown of how it could contribute:
**1. Establishing a Framework for Risk Communication:** The RMF’s core function is to translate complex AI risks into understandable language for various stakeholders. This is crucial for a privacy discussion because privacy concerns are often multifaceted and can be difficult for non-technical individuals to grasp. The framework would provide a structured way to communicate these risks across different levels – from senior executives to the public.
**2. Taxonomy and Definitions for Risk Identification:** The RMF’s taxonomy and terminology would be vital for identifying and categorizing AI risks. This includes defining key concepts like “data minimization,” “differential privacy,” “algorithmic bias,” and “transparency” – all of which are critical to privacy.  It would establish clear definitions, ensuring everyone understands what constitutes a particular risk.
**3. Metrics and Characterizations for Risk Assessment:** The RMF would facilitate the development of quantifiable metrics to assess the potential impact of AI risks on individuals’ privacy.  For example, it could define metrics for “data retention periods,” “data anonymization effectiveness,” or “risk of profiling.”  This allows for a more objective and data-driven approach to risk management.
**4. Supporting the Privacy Discussion:** By providing this comprehensive toolset, the AI RMF would directly support the privacy discussion in several ways:
*   **Transparency:** The framework would promote transparency by documenting risks and mitigation strategies, fostering a more open dialogue about privacy considerations.
*   **Communication:** It would enable clear and consistent communication of risks to various stakeholders, ensuring everyone understands the potential implications.
*   **Collaboration:** The taxonomy and terminology would facilitate collaboration among practitioners, researchers, and policymakers, strengthening the overall privacy discussion.
*   **Compliance:** The framework could be used to guide compliance with privacy regulations (like GDPR or CCPA) by providing a clear understanding of what constitutes a violation.
**In essence, the AI RMF acts as a central repository and guide for understanding and managing the privacy challenges posed by AI, making it a valuable asset for the dissertation’s research and discussion.**
---
Do you want me to elaborate on any of these points, perhaps focusing on a specific aspect of how the RMF could be used in the dissertation?</x:v>
      </x:c>
      <x:c r="N102" s="42" t="n">
        <x:v>3</x:v>
      </x:c>
      <x:c r="O102" s="42" t="n">
        <x:v>3</x:v>
      </x:c>
      <x:c r="P102" s="42" t="n">
        <x:v>3</x:v>
      </x:c>
      <x:c r="Q102" s="42" t="n">
        <x:v>2</x:v>
      </x:c>
      <x:c r="R102" s="42" t="n">
        <x:v>4</x:v>
      </x:c>
      <x:c r="S102" s="42" t="n">
        <x:v>3</x:v>
      </x:c>
      <x:c r="T102" s="50" t="n">
        <x:f>IF(COUNT(N102:S102)=6,AVERAGE(N102:S102),"")</x:f>
        <x:v>3</x:v>
      </x:c>
      <x:c r="U102" s="34" t="str">
        <x:v>AI draft note: Explains risk communication but does not identify privacy-enhanced AI or assess local deployment risks, controls, and trade-offs.</x:v>
      </x:c>
      <x:c r="V102" s="52" t="str">
        <x:v>AI draft (Codex/GPT); human review required</x:v>
      </x:c>
      <x:c r="W102" s="54" t="str">
        <x:v>2026-06-29</x:v>
      </x:c>
      <x:c r="X102" s="58" t="str">
        <x:v>AI draft - needs human review</x:v>
      </x:c>
    </x:row>
    <x:row r="103" ht="84" customHeight="1">
      <x:c r="A103" s="34" t="str">
        <x:v>F3-Q017-R1</x:v>
      </x:c>
      <x:c r="B103" s="34" t="str">
        <x:v>F3</x:v>
      </x:c>
      <x:c r="C103" s="34" t="str">
        <x:v>Q017</x:v>
      </x:c>
      <x:c r="D103" s="34" t="str">
        <x:v>1</x:v>
      </x:c>
      <x:c r="E103" s="34" t="str">
        <x:v>D2</x:v>
      </x:c>
      <x:c r="F103" s="34" t="str">
        <x:v>llama.cpp README</x:v>
      </x:c>
      <x:c r="G103" s="34" t="str">
        <x:v>fact_retrieval</x:v>
      </x:c>
      <x:c r="H103" s="34" t="str">
        <x:v>medium</x:v>
      </x:c>
      <x:c r="I103" s="34" t="str">
        <x:v>one_document</x:v>
      </x:c>
      <x:c r="J103" s="34" t="str">
        <x:v>What hardware or backend options are described as relevant to llama.cpp deployment?</x:v>
      </x:c>
      <x:c r="K103" s="34" t="str">
        <x:v>A good answer should mention at least several of the supported hardware/backend options such as x86 CPU instruction sets, Apple silicon, CUDA, HIP, Vulkan, SYCL, and CPU+GPU hybrid inference.</x:v>
      </x:c>
      <x:c r="L103" s="34" t="str">
        <x:v>D2 README Description hardware/backend bullets</x:v>
      </x:c>
      <x:c r="M103" s="34" t="str">
        <x:v>The relevant hardware and backend options for deploying llama.cpp include:
- GPU: The platform hosts a number of LLMs compatible with llama.cpp, which can be installed on GPUs.
- Backend: The platform supports various backends, including Vulkan, CANN, OpenCL, IBM zDNN, and WebGPU. These backends are used for different types of models and applications.
- Model: The platform supports various models, including those compatible with llama.cpp, which can be downloaded or directly used from Hugging Face or other model hosting sites.
- Backend: The platform supports various backends, including Vulkan, CANN, OpenCL, IBM zDNN, and WebGPU. These backends are used for different types of models and applications.
- Model: The platform supports various models, including those compatible with llama.cpp, which can be downloaded or directly used from Hugging Face or other model hosting sites.
- Backend: The platform supports various backends, including Vulkan, CANN, OpenCL, IBM zDNN, and WebGPU. These backends are used for different types of models and applications.</x:v>
      </x:c>
      <x:c r="N103" s="42" t="n">
        <x:v>4</x:v>
      </x:c>
      <x:c r="O103" s="42" t="n">
        <x:v>3</x:v>
      </x:c>
      <x:c r="P103" s="42" t="n">
        <x:v>3</x:v>
      </x:c>
      <x:c r="Q103" s="42" t="n">
        <x:v>3</x:v>
      </x:c>
      <x:c r="R103" s="42" t="n">
        <x:v>3</x:v>
      </x:c>
      <x:c r="S103" s="42" t="n">
        <x:v>3</x:v>
      </x:c>
      <x:c r="T103" s="50" t="n">
        <x:f>IF(COUNT(N103:S103)=6,AVERAGE(N103:S103),"")</x:f>
        <x:v>3.1666666666666665</x:v>
      </x:c>
      <x:c r="U103" s="34" t="str">
        <x:v>AI draft note: Names several genuine backends including Vulkan, CANN, OpenCL, zDNN, and WebGPU, but omits x86, Apple, CUDA, HIP, SYCL, and hybrid inference.</x:v>
      </x:c>
      <x:c r="V103" s="52" t="str">
        <x:v>AI draft (Codex/GPT); human review required</x:v>
      </x:c>
      <x:c r="W103" s="54" t="str">
        <x:v>2026-06-29</x:v>
      </x:c>
      <x:c r="X103" s="58" t="str">
        <x:v>AI draft - needs human review</x:v>
      </x:c>
    </x:row>
    <x:row r="104" ht="84" customHeight="1">
      <x:c r="A104" s="34" t="str">
        <x:v>M4-Q030-R1</x:v>
      </x:c>
      <x:c r="B104" s="34" t="str">
        <x:v>M4</x:v>
      </x:c>
      <x:c r="C104" s="34" t="str">
        <x:v>Q030</x:v>
      </x:c>
      <x:c r="D104" s="34" t="str">
        <x:v>1</x:v>
      </x:c>
      <x:c r="E104" s="34" t="str">
        <x:v>D4</x:v>
      </x:c>
      <x:c r="F104" s="34" t="str">
        <x:v>ICO AI Data Protection Guidance</x:v>
      </x:c>
      <x:c r="G104" s="34" t="str">
        <x:v>fact_retrieval</x:v>
      </x:c>
      <x:c r="H104" s="34" t="str">
        <x:v>easy</x:v>
      </x:c>
      <x:c r="I104" s="34" t="str">
        <x:v>one_document</x:v>
      </x:c>
      <x:c r="J104" s="34" t="str">
        <x:v>What data protection principles are relevant to AI systems?</x:v>
      </x:c>
      <x:c r="K104" s="34" t="str">
        <x:v>A good answer should mention relevant principles covered by the ICO guidance: accountability and governance, transparency, lawfulness, accuracy, fairness, security, data minimisation, and individual rights.</x:v>
      </x:c>
      <x:c r="L104" s="34" t="str">
        <x:v>D4 ICO guidance contents page</x:v>
      </x:c>
      <x:c r="M104" s="34" t="str">
        <x:v>The data protection principles relevant to AI systems include ensuring that all functions and individuals responsible for its development, testing, validation, deployment, and monitoring are adequately trained to understand the associated statistical accuracy requirements and measures; making sure data is clearly labelled as inferences and predictions, and is not claimed to be factual; ensuring trade-offs and reasonable expectations are managed; and adopting a common understanding of AI opportunities and challenges.</x:v>
      </x:c>
      <x:c r="N104" s="42" t="n">
        <x:v>2</x:v>
      </x:c>
      <x:c r="O104" s="42" t="n">
        <x:v>2</x:v>
      </x:c>
      <x:c r="P104" s="42" t="n">
        <x:v>2</x:v>
      </x:c>
      <x:c r="Q104" s="42" t="n">
        <x:v>1</x:v>
      </x:c>
      <x:c r="R104" s="42" t="n">
        <x:v>4</x:v>
      </x:c>
      <x:c r="S104" s="42" t="n">
        <x:v>2</x:v>
      </x:c>
      <x:c r="T104" s="50" t="n">
        <x:f>IF(COUNT(N104:S104)=6,AVERAGE(N104:S104),"")</x:f>
        <x:v>2.1666666666666665</x:v>
      </x:c>
      <x:c r="U104" s="34" t="str">
        <x:v>AI draft note: Mentions training and accuracy governance but fails to list accountability, transparency, lawfulness, fairness, security, minimisation, and rights.</x:v>
      </x:c>
      <x:c r="V104" s="52" t="str">
        <x:v>AI draft (Codex/GPT); human review required</x:v>
      </x:c>
      <x:c r="W104" s="54" t="str">
        <x:v>2026-06-29</x:v>
      </x:c>
      <x:c r="X104" s="58" t="str">
        <x:v>AI draft - needs human review</x:v>
      </x:c>
    </x:row>
    <x:row r="105" ht="84" customHeight="1">
      <x:c r="A105" s="34" t="str">
        <x:v>F3-Q007-R1</x:v>
      </x:c>
      <x:c r="B105" s="34" t="str">
        <x:v>F3</x:v>
      </x:c>
      <x:c r="C105" s="34" t="str">
        <x:v>Q007</x:v>
      </x:c>
      <x:c r="D105" s="34" t="str">
        <x:v>1</x:v>
      </x:c>
      <x:c r="E105" s="34" t="str">
        <x:v>D1</x:v>
      </x:c>
      <x:c r="F105" s="34" t="str">
        <x:v>RAG Paper</x:v>
      </x:c>
      <x:c r="G105" s="34" t="str">
        <x:v>fact_retrieval</x:v>
      </x:c>
      <x:c r="H105" s="34" t="str">
        <x:v>easy</x:v>
      </x:c>
      <x:c r="I105" s="34" t="str">
        <x:v>one_document</x:v>
      </x:c>
      <x:c r="J105" s="34" t="str">
        <x:v>According to the paper what kinds of tasks are considered knowledge-intensive?</x:v>
      </x:c>
      <x:c r="K105" s="34" t="str">
        <x:v>A good answer should mention open-domain question answering, abstractive QA, question generation, and fact verification as examples used in the paper. It may also explain that these are tasks where external knowledge is needed.</x:v>
      </x:c>
      <x:c r="L105" s="34" t="str">
        <x:v>D1 Experiments section 3; D1 sections 3.1-3.4</x:v>
      </x:c>
      <x:c r="M105" s="34" t="str">
        <x:v>According to the paper, knowledge-intensive tasks are those that require the AI system to implement methods used to implement the tasks that the AI system will support. These tasks include open-domain question answering, fact checking, fact completion, long-form question answering, Wikipedia article generation, dialogue, translation, and language modeling.</x:v>
      </x:c>
      <x:c r="N105" s="42" t="n">
        <x:v>4</x:v>
      </x:c>
      <x:c r="O105" s="42" t="n">
        <x:v>4</x:v>
      </x:c>
      <x:c r="P105" s="42" t="n">
        <x:v>4</x:v>
      </x:c>
      <x:c r="Q105" s="42" t="n">
        <x:v>4</x:v>
      </x:c>
      <x:c r="R105" s="42" t="n">
        <x:v>5</x:v>
      </x:c>
      <x:c r="S105" s="42" t="n">
        <x:v>4</x:v>
      </x:c>
      <x:c r="T105" s="50" t="n">
        <x:f>IF(COUNT(N105:S105)=6,AVERAGE(N105:S105),"")</x:f>
        <x:v>4.166666666666667</x:v>
      </x:c>
      <x:c r="U105" s="34" t="str">
        <x:v>AI draft note: Lists open-domain QA, fact checking, fact completion, long-form QA, article generation, dialogue, translation, and language modelling; question generation is omitted.</x:v>
      </x:c>
      <x:c r="V105" s="52" t="str">
        <x:v>AI draft (Codex/GPT); human review required</x:v>
      </x:c>
      <x:c r="W105" s="54" t="str">
        <x:v>2026-06-29</x:v>
      </x:c>
      <x:c r="X105" s="58" t="str">
        <x:v>AI draft - needs human review</x:v>
      </x:c>
    </x:row>
    <x:row r="106" ht="84" customHeight="1">
      <x:c r="A106" s="34" t="str">
        <x:v>R9-Q024-R1</x:v>
      </x:c>
      <x:c r="B106" s="34" t="str">
        <x:v>R9</x:v>
      </x:c>
      <x:c r="C106" s="34" t="str">
        <x:v>Q024</x:v>
      </x:c>
      <x:c r="D106" s="34" t="str">
        <x:v>1</x:v>
      </x:c>
      <x:c r="E106" s="34" t="str">
        <x:v>D3</x:v>
      </x:c>
      <x:c r="F106" s="34" t="str">
        <x:v>NIST AI RMF</x:v>
      </x:c>
      <x:c r="G106" s="34" t="str">
        <x:v>source_grounded_synthesis</x:v>
      </x:c>
      <x:c r="H106" s="34" t="str">
        <x:v>hard</x:v>
      </x:c>
      <x:c r="I106" s="34" t="str">
        <x:v>one_document</x:v>
      </x:c>
      <x:c r="J106" s="34" t="str">
        <x:v>How can an AI risk framework support evaluation beyond accuracy alone?</x:v>
      </x:c>
      <x:c r="K106" s="34" t="str">
        <x:v>A good answer should explain that the framework encourages evaluation of reliability, safety, security, transparency, explainability, privacy, fairness, and context of use. In this dissertation, that supports measuring system metrics and discussing privacy, not only answer correctness.</x:v>
      </x:c>
      <x:c r="L106" s="34" t="str">
        <x:v>D3 AI RMF section 3; D3 Core functions section</x:v>
      </x:c>
      <x:c r="M106" s="34" t="str">
        <x:v>An AI risk framework can support evaluation beyond accuracy alone by considering qualitative and quantitative measurements that provide unique and meaningful information about the assessment of AI risks. It enhances the capacity to comprehensively evaluate system trustworthiness, identify and track existing and emergent risks, and verify the efficacy of metrics. The framework's outcomes will be utilized in the MANAGE function to assist risk monitoring and response. It should be intuitive and adaptable as part of an organization's broader risk management strategy and processes, consistent or aligned with other approaches to managing AI risks, and useful to a wide range of perspectives, sectors, and technology domains. The framework should be outcome-focused and non-prescriptive, providing a catalog of outcomes and approaches rather than established in GOVERN and utilized in MAP and MEASURE to bolster AI risk management efforts and increase transparency and accountability.</x:v>
      </x:c>
      <x:c r="N106" s="42" t="n">
        <x:v>4</x:v>
      </x:c>
      <x:c r="O106" s="42" t="n">
        <x:v>4</x:v>
      </x:c>
      <x:c r="P106" s="42" t="n">
        <x:v>4</x:v>
      </x:c>
      <x:c r="Q106" s="42" t="n">
        <x:v>3</x:v>
      </x:c>
      <x:c r="R106" s="42" t="n">
        <x:v>5</x:v>
      </x:c>
      <x:c r="S106" s="42" t="n">
        <x:v>4</x:v>
      </x:c>
      <x:c r="T106" s="50" t="n">
        <x:f>IF(COUNT(N106:S106)=6,AVERAGE(N106:S106),"")</x:f>
        <x:v>4</x:v>
      </x:c>
      <x:c r="U106" s="34" t="str">
        <x:v>AI draft note: Strong broader-risk and trustworthiness measurement framing, but it does not explicitly name safety, security, explainability, privacy, and fairness.</x:v>
      </x:c>
      <x:c r="V106" s="52" t="str">
        <x:v>AI draft (Codex/GPT); human review required</x:v>
      </x:c>
      <x:c r="W106" s="54" t="str">
        <x:v>2026-06-29</x:v>
      </x:c>
      <x:c r="X106" s="58" t="str">
        <x:v>AI draft - needs human review</x:v>
      </x:c>
    </x:row>
    <x:row r="107" ht="84" customHeight="1">
      <x:c r="A107" s="34" t="str">
        <x:v>M4-Q013-R1</x:v>
      </x:c>
      <x:c r="B107" s="34" t="str">
        <x:v>M4</x:v>
      </x:c>
      <x:c r="C107" s="34" t="str">
        <x:v>Q013</x:v>
      </x:c>
      <x:c r="D107" s="34" t="str">
        <x:v>1</x:v>
      </x:c>
      <x:c r="E107" s="34" t="str">
        <x:v>D2</x:v>
      </x:c>
      <x:c r="F107" s="34" t="str">
        <x:v>llama.cpp README</x:v>
      </x:c>
      <x:c r="G107" s="34" t="str">
        <x:v>fact_retrieval</x:v>
      </x:c>
      <x:c r="H107" s="34" t="str">
        <x:v>easy</x:v>
      </x:c>
      <x:c r="I107" s="34" t="str">
        <x:v>one_document</x:v>
      </x:c>
      <x:c r="J107" s="34" t="str">
        <x:v>What does GGUF enable in local model serving?</x:v>
      </x:c>
      <x:c r="K107" s="34" t="str">
        <x:v>A good answer should say that llama.cpp requires or uses models stored in GGUF format, and that GGUF models can be run locally or converted/quantised into smaller files for llama.cpp use.</x:v>
      </x:c>
      <x:c r="L107" s="34" t="str">
        <x:v>D2 README Obtaining and quantizing models; D2 GGUF references</x:v>
      </x:c>
      <x:c r="M107" s="34" t="str">
        <x:v>GGUF (Google Model Format) enables the local serving of embedding models and reranking models. In the context provided, the GGUF format is used to serve an embedding model via the `/embedding` endpoint, and to serve a reranking model by specifying the `--embedding` flag with `cls` as the pooling method and `8192` as the batch size. The GGUF format is also mentioned as a way to serve a model, which can be a local model file or downloaded from a model hosting site like Hugging Face. The GGUF format is described as enabling minimal setup and state-of-the-art performance for inference with LLMs.</x:v>
      </x:c>
      <x:c r="N107" s="42" t="n">
        <x:v>3</x:v>
      </x:c>
      <x:c r="O107" s="42" t="n">
        <x:v>1</x:v>
      </x:c>
      <x:c r="P107" s="42" t="n">
        <x:v>2</x:v>
      </x:c>
      <x:c r="Q107" s="42" t="n">
        <x:v>2</x:v>
      </x:c>
      <x:c r="R107" s="42" t="n">
        <x:v>1</x:v>
      </x:c>
      <x:c r="S107" s="42" t="n">
        <x:v>2</x:v>
      </x:c>
      <x:c r="T107" s="50" t="n">
        <x:f>IF(COUNT(N107:S107)=6,AVERAGE(N107:S107),"")</x:f>
        <x:v>1.8333333333333333</x:v>
      </x:c>
      <x:c r="U107" s="34" t="str">
        <x:v>AI draft note: Incorrectly calls GGUF a Google format and focuses on embedding endpoints; it misses conversion and quantised local model files.</x:v>
      </x:c>
      <x:c r="V107" s="52" t="str">
        <x:v>AI draft (Codex/GPT); human review required</x:v>
      </x:c>
      <x:c r="W107" s="54" t="str">
        <x:v>2026-06-29</x:v>
      </x:c>
      <x:c r="X107" s="58" t="str">
        <x:v>AI draft - needs human review</x:v>
      </x:c>
    </x:row>
    <x:row r="108" ht="84" customHeight="1">
      <x:c r="A108" s="34" t="str">
        <x:v>F3-Q006-R1</x:v>
      </x:c>
      <x:c r="B108" s="34" t="str">
        <x:v>F3</x:v>
      </x:c>
      <x:c r="C108" s="34" t="str">
        <x:v>Q006</x:v>
      </x:c>
      <x:c r="D108" s="34" t="str">
        <x:v>1</x:v>
      </x:c>
      <x:c r="E108" s="34" t="str">
        <x:v>D1</x:v>
      </x:c>
      <x:c r="F108" s="34" t="str">
        <x:v>RAG Paper</x:v>
      </x:c>
      <x:c r="G108" s="34" t="str">
        <x:v>comparison</x:v>
      </x:c>
      <x:c r="H108" s="34" t="str">
        <x:v>medium</x:v>
      </x:c>
      <x:c r="I108" s="34" t="str">
        <x:v>one_document</x:v>
      </x:c>
      <x:c r="J108" s="34" t="str">
        <x:v>What is the difference between generating from model parameters alone and generating with retrieved passages?</x:v>
      </x:c>
      <x:c r="K108" s="34" t="str">
        <x:v>A good answer should contrast closed-book generation with retrieval-augmented generation. Parametric-only generation relies on internal model weights, while RAG adds retrieved passages as evidence and context, allowing more specific and factual answers when retrieval succeeds.</x:v>
      </x:c>
      <x:c r="L108" s="34" t="str">
        <x:v>D1 Introduction; D1 Open-domain QA section; D1 Results sections 4.1-4.3</x:v>
      </x:c>
      <x:c r="M108" s="34" t="str">
        <x:v>The key difference between generating from model parameters alone and generating with retrieved passages lies in the approach used to update the models' knowledge as the world changes. In the former method, the models rely solely on the input sequence \( x \) to retrieve text documents \( z \) and use them as additional context for generating the target sequence \( y \). This approach is straightforward and does not require any external knowledge to update the models' knowledge. However, it is limited to the context provided by the input sequence \( x \), and the models' knowledge is not updated as the world changes. On the other hand, in the latter method, the models use the input sequence \( x \) to retrieve text documents \( z \) and use them as additional context for generating the target sequence \( y \). This approach allows the models to update their knowledge as the world changes, as the retrieved documents \( z \) provide a new context for generating the target sequence \( y \).</x:v>
      </x:c>
      <x:c r="N108" s="42" t="n">
        <x:v>3</x:v>
      </x:c>
      <x:c r="O108" s="42" t="n">
        <x:v>2</x:v>
      </x:c>
      <x:c r="P108" s="42" t="n">
        <x:v>2</x:v>
      </x:c>
      <x:c r="Q108" s="42" t="n">
        <x:v>2</x:v>
      </x:c>
      <x:c r="R108" s="42" t="n">
        <x:v>2</x:v>
      </x:c>
      <x:c r="S108" s="42" t="n">
        <x:v>2</x:v>
      </x:c>
      <x:c r="T108" s="50" t="n">
        <x:f>IF(COUNT(N108:S108)=6,AVERAGE(N108:S108),"")</x:f>
        <x:v>2.1666666666666665</x:v>
      </x:c>
      <x:c r="U108" s="34" t="str">
        <x:v>AI draft note: Confuses parametric-only generation with retrieval and does not establish a clean closed-book versus evidence-conditioned contrast.</x:v>
      </x:c>
      <x:c r="V108" s="52" t="str">
        <x:v>AI draft (Codex/GPT); human review required</x:v>
      </x:c>
      <x:c r="W108" s="54" t="str">
        <x:v>2026-06-29</x:v>
      </x:c>
      <x:c r="X108" s="58" t="str">
        <x:v>AI draft - needs human review</x:v>
      </x:c>
    </x:row>
    <x:row r="109" ht="84" customHeight="1">
      <x:c r="A109" s="34" t="str">
        <x:v>K8-Q039-R1</x:v>
      </x:c>
      <x:c r="B109" s="34" t="str">
        <x:v>K8</x:v>
      </x:c>
      <x:c r="C109" s="34" t="str">
        <x:v>Q039</x:v>
      </x:c>
      <x:c r="D109" s="34" t="str">
        <x:v>1</x:v>
      </x:c>
      <x:c r="E109" s="34" t="str">
        <x:v>D2+D4</x:v>
      </x:c>
      <x:c r="F109" s="34" t="str">
        <x:v>llama.cpp README and ICO AI Data Protection Guidance</x:v>
      </x:c>
      <x:c r="G109" s="34" t="str">
        <x:v>source_grounded_synthesis</x:v>
      </x:c>
      <x:c r="H109" s="34" t="str">
        <x:v>hard</x:v>
      </x:c>
      <x:c r="I109" s="34" t="str">
        <x:v>multiple_documents</x:v>
      </x:c>
      <x:c r="J109" s="34" t="str">
        <x:v>How do technical deployment choices connect to privacy and data protection concerns?</x:v>
      </x:c>
      <x:c r="K109" s="34" t="str">
        <x:v>A good answer should connect local runtime, GGUF/quantised models, and local server setup with data protection questions about data flows, security, logs, dependencies, access control, minimisation, and privacy attacks. It should state that technical architecture affects but does not settle privacy.</x:v>
      </x:c>
      <x:c r="L109" s="34" t="str">
        <x:v>D2 README Description/llama-server/GGUF; D4 security and data minimisation; D4 lawfulness/transparency</x:v>
      </x:c>
      <x:c r="M109" s="34" t="str">
        <x:v>The technical deployment choices for AI systems are closely tied to privacy concerns. These choices can influence areas like security, bias, and transparency, which can have tradeoffs with privacy-related characteristics like safety and security. For example, specific features of an AI system might enhance or reduce privacy. Additionally, AI systems can introduce new privacy risks, such as allowing inference to identify individuals or previously private information. There are also concerns about the norms and practices that guide privacy, like anonymity, confidentiality, and control. These norms and practices typically involve consent and control of individuals' agency, such as consent to disclosure or control of their identities. Therefore, the technical deployment choices for AI systems should be guided by these privacy-related values, such as the NIST Privacy Framework, to improve privacy through enterprise risk management.</x:v>
      </x:c>
      <x:c r="N109" s="42" t="n">
        <x:v>3</x:v>
      </x:c>
      <x:c r="O109" s="42" t="n">
        <x:v>3</x:v>
      </x:c>
      <x:c r="P109" s="42" t="n">
        <x:v>3</x:v>
      </x:c>
      <x:c r="Q109" s="42" t="n">
        <x:v>2</x:v>
      </x:c>
      <x:c r="R109" s="42" t="n">
        <x:v>4</x:v>
      </x:c>
      <x:c r="S109" s="42" t="n">
        <x:v>3</x:v>
      </x:c>
      <x:c r="T109" s="50" t="n">
        <x:f>IF(COUNT(N109:S109)=6,AVERAGE(N109:S109),"")</x:f>
        <x:v>3</x:v>
      </x:c>
      <x:c r="U109" s="34" t="str">
        <x:v>AI draft note: Connects architecture with privacy risks generally, but omits local runtime, GGUF, logs, dependencies, access controls, minimisation, and the non-determinative caveat.</x:v>
      </x:c>
      <x:c r="V109" s="52" t="str">
        <x:v>AI draft (Codex/GPT); human review required</x:v>
      </x:c>
      <x:c r="W109" s="54" t="str">
        <x:v>2026-06-29</x:v>
      </x:c>
      <x:c r="X109" s="58" t="str">
        <x:v>AI draft - needs human review</x:v>
      </x:c>
    </x:row>
    <x:row r="110" ht="84" customHeight="1">
      <x:c r="A110" s="34" t="str">
        <x:v>T2-Q005-R1</x:v>
      </x:c>
      <x:c r="B110" s="34" t="str">
        <x:v>T2</x:v>
      </x:c>
      <x:c r="C110" s="34" t="str">
        <x:v>Q005</x:v>
      </x:c>
      <x:c r="D110" s="34" t="str">
        <x:v>1</x:v>
      </x:c>
      <x:c r="E110" s="34" t="str">
        <x:v>D1</x:v>
      </x:c>
      <x:c r="F110" s="34" t="str">
        <x:v>RAG Paper</x:v>
      </x:c>
      <x:c r="G110" s="34" t="str">
        <x:v>explanation</x:v>
      </x:c>
      <x:c r="H110" s="34" t="str">
        <x:v>medium</x:v>
      </x:c>
      <x:c r="I110" s="34" t="str">
        <x:v>one_document</x:v>
      </x:c>
      <x:c r="J110" s="34" t="str">
        <x:v>How can retrieval help a model access knowledge that is not stored in its parameters?</x:v>
      </x:c>
      <x:c r="K110" s="34" t="str">
        <x:v>A good answer should explain that retrieval lets the system look up information from an external index at inference time instead of relying only on memorised model parameters. The external index can also be replaced or updated more easily than model weights.</x:v>
      </x:c>
      <x:c r="L110" s="34" t="str">
        <x:v>D1 Introduction; D1 final paragraph of Introduction</x:v>
      </x:c>
      <x:c r="M110" s="34" t="str">
        <x:v>Retrieved Context: Retrieval-based models, like RAG (Retrieval-Augmented Graph) models, can leverage external knowledge sources to update their models' knowledge as the world changes. These models use input sequences to retrieve text documents and use them as additional context when generating the target sequence.
Methods:
1. **RAG Models**: RAG models use two components: a retriever (p(z|x)) that returns top-K truncated distributions over text passages given a query, and a generator that uses the retrieved documents as additional context.
2. **Hybrid Models**: Hybrid models combine parametric memory (e.g., BERT-base query and document encoder) with non-parametric retrieval-based memories (e.g., BART-large).
The key point here is that retrieval-based models can access knowledge that is not stored in their parameters. This is achieved by leveraging external knowledge sources, such as retrieved documents, to update their models' knowledge as the world changes.
Null document mechanisms may not be necessary for RAG models, as they can learn to always retrieve a particular set of documents for questions that are less likely to benefit from retrieval.</x:v>
      </x:c>
      <x:c r="N110" s="42" t="n">
        <x:v>5</x:v>
      </x:c>
      <x:c r="O110" s="42" t="n">
        <x:v>4</x:v>
      </x:c>
      <x:c r="P110" s="42" t="n">
        <x:v>4</x:v>
      </x:c>
      <x:c r="Q110" s="42" t="n">
        <x:v>4</x:v>
      </x:c>
      <x:c r="R110" s="42" t="n">
        <x:v>4</x:v>
      </x:c>
      <x:c r="S110" s="42" t="n">
        <x:v>5</x:v>
      </x:c>
      <x:c r="T110" s="50" t="n">
        <x:f>IF(COUNT(N110:S110)=6,AVERAGE(N110:S110),"")</x:f>
        <x:v>4.333333333333333</x:v>
      </x:c>
      <x:c r="U110" s="34" t="str">
        <x:v>AI draft note: Strong explanation of external retrieval and updated knowledge with source-specific mechanics; it incorrectly expands RAG as Graph and is unnecessarily verbose.</x:v>
      </x:c>
      <x:c r="V110" s="52" t="str">
        <x:v>AI draft (Codex/GPT); human review required</x:v>
      </x:c>
      <x:c r="W110" s="54" t="str">
        <x:v>2026-06-29</x:v>
      </x:c>
      <x:c r="X110" s="58" t="str">
        <x:v>AI draft - needs human review</x:v>
      </x:c>
    </x:row>
    <x:row r="111" ht="84" customHeight="1">
      <x:c r="A111" s="34" t="str">
        <x:v>F3-Q027-R1</x:v>
      </x:c>
      <x:c r="B111" s="34" t="str">
        <x:v>F3</x:v>
      </x:c>
      <x:c r="C111" s="34" t="str">
        <x:v>Q027</x:v>
      </x:c>
      <x:c r="D111" s="34" t="str">
        <x:v>1</x:v>
      </x:c>
      <x:c r="E111" s="34" t="str">
        <x:v>D3</x:v>
      </x:c>
      <x:c r="F111" s="34" t="str">
        <x:v>NIST AI RMF</x:v>
      </x:c>
      <x:c r="G111" s="34" t="str">
        <x:v>boundary_limitation</x:v>
      </x:c>
      <x:c r="H111" s="34" t="str">
        <x:v>hard</x:v>
      </x:c>
      <x:c r="I111" s="34" t="str">
        <x:v>one_document</x:v>
      </x:c>
      <x:c r="J111" s="34" t="str">
        <x:v>Why should an AI system be evaluated for limitations as well as capabilities?</x:v>
      </x:c>
      <x:c r="K111" s="34" t="str">
        <x:v>A good answer should explain that risk depends on context, uncertainty, negative impacts, and limitations, not only successful outputs. Evaluating limitations helps avoid overclaiming and supports responsible deployment decisions.</x:v>
      </x:c>
      <x:c r="L111" s="34" t="str">
        <x:v>D3 AI RMF Framing Risk; D3 Challenges for AI Risk Management; D3 Human-AI Interaction appendix</x:v>
      </x:c>
      <x:c r="M111" s="34" t="str">
        <x:v>An AI system should be evaluated for limitations as well as capabilities because it is essential to understand the potential impact of its operations on humans and other systems. The system's limitations can include its inability to handle certain types of data, its susceptibility to errors or biases, or its potential to cause unintended consequences. By identifying and mitigating these limitations, an AI system can ensure that it operates safely and effectively in a wide range of scenarios.</x:v>
      </x:c>
      <x:c r="N111" s="42" t="n">
        <x:v>5</x:v>
      </x:c>
      <x:c r="O111" s="42" t="n">
        <x:v>4</x:v>
      </x:c>
      <x:c r="P111" s="42" t="n">
        <x:v>4</x:v>
      </x:c>
      <x:c r="Q111" s="42" t="n">
        <x:v>4</x:v>
      </x:c>
      <x:c r="R111" s="42" t="n">
        <x:v>5</x:v>
      </x:c>
      <x:c r="S111" s="42" t="n">
        <x:v>4</x:v>
      </x:c>
      <x:c r="T111" s="50" t="n">
        <x:f>IF(COUNT(N111:S111)=6,AVERAGE(N111:S111),"")</x:f>
        <x:v>4.333333333333333</x:v>
      </x:c>
      <x:c r="U111" s="34" t="str">
        <x:v>AI draft note: Clearly explains limitations, errors, bias, consequences, safety, and mitigation; uncertainty, context, and avoiding overclaiming are implicit.</x:v>
      </x:c>
      <x:c r="V111" s="52" t="str">
        <x:v>AI draft (Codex/GPT); human review required</x:v>
      </x:c>
      <x:c r="W111" s="54" t="str">
        <x:v>2026-06-29</x:v>
      </x:c>
      <x:c r="X111" s="58" t="str">
        <x:v>AI draft - needs human review</x:v>
      </x:c>
    </x:row>
    <x:row r="112" ht="84" customHeight="1">
      <x:c r="A112" s="34" t="str">
        <x:v>A7-Q017-R1</x:v>
      </x:c>
      <x:c r="B112" s="34" t="str">
        <x:v>A7</x:v>
      </x:c>
      <x:c r="C112" s="34" t="str">
        <x:v>Q017</x:v>
      </x:c>
      <x:c r="D112" s="34" t="str">
        <x:v>1</x:v>
      </x:c>
      <x:c r="E112" s="34" t="str">
        <x:v>D2</x:v>
      </x:c>
      <x:c r="F112" s="34" t="str">
        <x:v>llama.cpp README</x:v>
      </x:c>
      <x:c r="G112" s="34" t="str">
        <x:v>fact_retrieval</x:v>
      </x:c>
      <x:c r="H112" s="34" t="str">
        <x:v>medium</x:v>
      </x:c>
      <x:c r="I112" s="34" t="str">
        <x:v>one_document</x:v>
      </x:c>
      <x:c r="J112" s="34" t="str">
        <x:v>What hardware or backend options are described as relevant to llama.cpp deployment?</x:v>
      </x:c>
      <x:c r="K112" s="34" t="str">
        <x:v>A good answer should mention at least several of the supported hardware/backend options such as x86 CPU instruction sets, Apple silicon, CUDA, HIP, Vulkan, SYCL, and CPU+GPU hybrid inference.</x:v>
      </x:c>
      <x:c r="L112" s="34" t="str">
        <x:v>D2 README Description hardware/backend bullets</x:v>
      </x:c>
      <x:c r="M112" s="34" t="str">
        <x:v>Okay, here's a rephrased and expanded answer based on the provided context, incorporating relevant details and expanding on the key points:
“The context highlights several hardware and backend options relevant to deploying llama.cpp, primarily focusing on GPU capabilities.  Specifically, it mentions the following:
*   **GPU:** llama.cpp is designed to run efficiently on GPUs, and the context emphasizes that it’s compatible with GPU-accelerated inference.
*   **Vulkan:** The mention of Vulkan suggests that llama.cpp utilizes this graphics API for optimized performance.
*   **CanN:** The context refers to the CANN project, which is a framework for machine learning, and it’s connected to the development of Ascend NPU.
*   **OpenCL:** OpenCL is another graphics API that can be used for GPU acceleration.
*   **Adreno GPU:** The context specifically mentions the Adreno GPU, indicating that llama.cpp is optimized for devices with this graphics processor.
*   **IBM zDNN:** The context also references IBM zDNN, which is a powerful neural network inference engine.
*   **IBM Z &amp; LinuxONE:** The context also mentions that llama.cpp is designed to work with IBM Z systems and the Linux ONE platform.
*   **WebGPU:** The context also mentions WebGPU, which is a modern API for rendering graphics in the browser.
Essentially, the context underscores that llama.cpp is intended for deployment on a range of hardware, with a strong emphasis on GPU support, and it’s designed to leverage various graphics APIs like Vulkan, OpenCL, and potentially WebGPU.”
</x:v>
      </x:c>
      <x:c r="N112" s="42" t="n">
        <x:v>4</x:v>
      </x:c>
      <x:c r="O112" s="42" t="n">
        <x:v>3</x:v>
      </x:c>
      <x:c r="P112" s="42" t="n">
        <x:v>3</x:v>
      </x:c>
      <x:c r="Q112" s="42" t="n">
        <x:v>3</x:v>
      </x:c>
      <x:c r="R112" s="42" t="n">
        <x:v>3</x:v>
      </x:c>
      <x:c r="S112" s="42" t="n">
        <x:v>3</x:v>
      </x:c>
      <x:c r="T112" s="50" t="n">
        <x:f>IF(COUNT(N112:S112)=6,AVERAGE(N112:S112),"")</x:f>
        <x:v>3.1666666666666665</x:v>
      </x:c>
      <x:c r="U112" s="34" t="str">
        <x:v>AI draft note: Names GPU, Vulkan, and CANN, but omits several principal options and likely overfocuses on minor backends.</x:v>
      </x:c>
      <x:c r="V112" s="52" t="str">
        <x:v>AI draft (Codex/GPT); human review required</x:v>
      </x:c>
      <x:c r="W112" s="54" t="str">
        <x:v>2026-06-29</x:v>
      </x:c>
      <x:c r="X112" s="58" t="str">
        <x:v>AI draft - needs human review</x:v>
      </x:c>
    </x:row>
    <x:row r="113" ht="84" customHeight="1">
      <x:c r="A113" s="34" t="str">
        <x:v>K8-Q037-R1</x:v>
      </x:c>
      <x:c r="B113" s="34" t="str">
        <x:v>K8</x:v>
      </x:c>
      <x:c r="C113" s="34" t="str">
        <x:v>Q037</x:v>
      </x:c>
      <x:c r="D113" s="34" t="str">
        <x:v>1</x:v>
      </x:c>
      <x:c r="E113" s="34" t="str">
        <x:v>D4</x:v>
      </x:c>
      <x:c r="F113" s="34" t="str">
        <x:v>ICO AI Data Protection Guidance</x:v>
      </x:c>
      <x:c r="G113" s="34" t="str">
        <x:v>boundary_limitation</x:v>
      </x:c>
      <x:c r="H113" s="34" t="str">
        <x:v>hard</x:v>
      </x:c>
      <x:c r="I113" s="34" t="str">
        <x:v>one_document</x:v>
      </x:c>
      <x:c r="J113" s="34" t="str">
        <x:v>Why does keeping processing local not remove all data protection responsibilities?</x:v>
      </x:c>
      <x:c r="K113" s="34" t="str">
        <x:v>A good answer should explain that data protection obligations apply whenever personal data is processed, regardless of whether processing is local or cloud-based. Local systems still require lawful basis, transparency, security controls, minimisation, retention management, and accountability.</x:v>
      </x:c>
      <x:c r="L113" s="34" t="str">
        <x:v>D4 ICO lawfulness chapter; D4 transparency chapter; D4 security and data minimisation chapter</x:v>
      </x:c>
      <x:c r="M113" s="34" t="str">
        <x:v>Keeping processing local does not remove all data protection responsibilities because the organization that creates and distributes the model is still a controller in so far as it determines the means and purposes of processing. Additionally, the key is understanding that while legitimate interests may be more flexible, it comes with additional responsibilities. It requires you to assess the impact of your processing on individuals and be able to demonstrate that there is a compelling benefit to the processing. You must also be able to demonstrate the necessity and proportionality of the processing.</x:v>
      </x:c>
      <x:c r="N113" s="42" t="n">
        <x:v>4</x:v>
      </x:c>
      <x:c r="O113" s="42" t="n">
        <x:v>3</x:v>
      </x:c>
      <x:c r="P113" s="42" t="n">
        <x:v>3</x:v>
      </x:c>
      <x:c r="Q113" s="42" t="n">
        <x:v>2</x:v>
      </x:c>
      <x:c r="R113" s="42" t="n">
        <x:v>4</x:v>
      </x:c>
      <x:c r="S113" s="42" t="n">
        <x:v>3</x:v>
      </x:c>
      <x:c r="T113" s="50" t="n">
        <x:f>IF(COUNT(N113:S113)=6,AVERAGE(N113:S113),"")</x:f>
        <x:v>3.1666666666666665</x:v>
      </x:c>
      <x:c r="U113" s="34" t="str">
        <x:v>AI draft note: Correctly retains controller and proportionality duties, but omits transparency, security, minimisation, retention, access controls, and accountability.</x:v>
      </x:c>
      <x:c r="V113" s="52" t="str">
        <x:v>AI draft (Codex/GPT); human review required</x:v>
      </x:c>
      <x:c r="W113" s="54" t="str">
        <x:v>2026-06-29</x:v>
      </x:c>
      <x:c r="X113" s="58" t="str">
        <x:v>AI draft - needs human review</x:v>
      </x:c>
    </x:row>
    <x:row r="114" ht="84" customHeight="1">
      <x:c r="A114" s="34" t="str">
        <x:v>R9-Q030-R1</x:v>
      </x:c>
      <x:c r="B114" s="34" t="str">
        <x:v>R9</x:v>
      </x:c>
      <x:c r="C114" s="34" t="str">
        <x:v>Q030</x:v>
      </x:c>
      <x:c r="D114" s="34" t="str">
        <x:v>1</x:v>
      </x:c>
      <x:c r="E114" s="34" t="str">
        <x:v>D4</x:v>
      </x:c>
      <x:c r="F114" s="34" t="str">
        <x:v>ICO AI Data Protection Guidance</x:v>
      </x:c>
      <x:c r="G114" s="34" t="str">
        <x:v>fact_retrieval</x:v>
      </x:c>
      <x:c r="H114" s="34" t="str">
        <x:v>easy</x:v>
      </x:c>
      <x:c r="I114" s="34" t="str">
        <x:v>one_document</x:v>
      </x:c>
      <x:c r="J114" s="34" t="str">
        <x:v>What data protection principles are relevant to AI systems?</x:v>
      </x:c>
      <x:c r="K114" s="34" t="str">
        <x:v>A good answer should mention relevant principles covered by the ICO guidance: accountability and governance, transparency, lawfulness, accuracy, fairness, security, data minimisation, and individual rights.</x:v>
      </x:c>
      <x:c r="L114" s="34" t="str">
        <x:v>D4 ICO guidance contents page</x:v>
      </x:c>
      <x:c r="M114" s="34" t="str">
        <x:v>To comply with data protection principles when adopting an AI system, you should ensure that all functions and individuals responsible for its development, testing, validation, deployment, and monitoring are adequately trained to understand the associated statistical accuracy requirements and measures. Data should be clearly labeled as inferences and predictions, and not claimed to be factual. You should also manage trade-offs and reasonable expectations, and adopt common opportunities presented by AI. Additionally, the guidance is user-friendly, reduces the burden of compliance for organizations, and reflects upcoming changes in relation to AI regulation and data protection.</x:v>
      </x:c>
      <x:c r="N114" s="42" t="n">
        <x:v>2</x:v>
      </x:c>
      <x:c r="O114" s="42" t="n">
        <x:v>2</x:v>
      </x:c>
      <x:c r="P114" s="42" t="n">
        <x:v>2</x:v>
      </x:c>
      <x:c r="Q114" s="42" t="n">
        <x:v>1</x:v>
      </x:c>
      <x:c r="R114" s="42" t="n">
        <x:v>4</x:v>
      </x:c>
      <x:c r="S114" s="42" t="n">
        <x:v>2</x:v>
      </x:c>
      <x:c r="T114" s="50" t="n">
        <x:f>IF(COUNT(N114:S114)=6,AVERAGE(N114:S114),"")</x:f>
        <x:v>2.1666666666666665</x:v>
      </x:c>
      <x:c r="U114" s="34" t="str">
        <x:v>AI draft note: Discusses accuracy governance but fails to enumerate the requested data-protection principles.</x:v>
      </x:c>
      <x:c r="V114" s="52" t="str">
        <x:v>AI draft (Codex/GPT); human review required</x:v>
      </x:c>
      <x:c r="W114" s="54" t="str">
        <x:v>2026-06-29</x:v>
      </x:c>
      <x:c r="X114" s="58" t="str">
        <x:v>AI draft - needs human review</x:v>
      </x:c>
    </x:row>
    <x:row r="115" ht="84" customHeight="1">
      <x:c r="A115" s="34" t="str">
        <x:v>T2-Q031-R1</x:v>
      </x:c>
      <x:c r="B115" s="34" t="str">
        <x:v>T2</x:v>
      </x:c>
      <x:c r="C115" s="34" t="str">
        <x:v>Q031</x:v>
      </x:c>
      <x:c r="D115" s="34" t="str">
        <x:v>1</x:v>
      </x:c>
      <x:c r="E115" s="34" t="str">
        <x:v>D4</x:v>
      </x:c>
      <x:c r="F115" s="34" t="str">
        <x:v>ICO AI Data Protection Guidance</x:v>
      </x:c>
      <x:c r="G115" s="34" t="str">
        <x:v>explanation</x:v>
      </x:c>
      <x:c r="H115" s="34" t="str">
        <x:v>medium</x:v>
      </x:c>
      <x:c r="I115" s="34" t="str">
        <x:v>one_document</x:v>
      </x:c>
      <x:c r="J115" s="34" t="str">
        <x:v>Why are transparency and explainability important for AI systems that process personal data?</x:v>
      </x:c>
      <x:c r="K115" s="34" t="str">
        <x:v>A good answer should explain that people need clear information about how their personal data is processed, including purposes, retention, and sharing. Transparency helps comply with data protection obligations and supports explainability around AI use.</x:v>
      </x:c>
      <x:c r="L115" s="34" t="str">
        <x:v>D4 ICO transparency chapter</x:v>
      </x:c>
      <x:c r="M115" s="34" t="str">
        <x:v>Transparency and explainability are crucial for AI systems that process personal data because they:
1. **Build trust**: By being transparent about how they process personal data, AI systems can establish trust with individuals, which is essential for effective data protection and user confidence.
2. **Ensure accountability**: Transparency helps identify who is responsible for any errors or biases in AI decisions, allowing individuals to hold the system accountable for its actions.
3. **Facilitate accountability for AI outputs**: By providing clear information about the data used to train AI models, the system can demonstrate its reliance on human oversight and data quality.
4. **Enable data protection**: Transparency is necessary for complying with data protection regulations, such as GDPR and CCPA, which require clear explanations of how personal data is collected, used, and shared.
5. **Support human oversight and review**: By providing explanations for AI decisions, transparency enables humans to review and correct AI outputs, ensuring that they align with human values and standards.
6. **Promote data quality and reduction of bias**: Transparency can help identify and mitigate biases in AI decision-making, as individuals can scrutinize the data used to train models and detect potential errors.
7. **Enhance user experience**: By providing clear information about how AI systems work, transparency can improve user experience and reduce anxiety or mistrust associated with AI-driven decisions.
8. **Support AI literacy and education**: Transparency can empower individuals to understand AI and its limitations, fostering a more informed and engaged public discourse on AI-related topics.
9. **Facilitate data-driven decision-making**: By providing transparent explanations for AI-driven decisions, transparency can support data-driven decision-making, where individuals can trust AI systems to provide accurate and unbiased information.
10. **Ensure compliance with regulations and industry standards**: Transparency is often a regulatory requirement, and by providing clear explanations, AI systems can demonstrate compliance with relevant regulations and industry standards.
In summary, transparency and explainability are essential for AI systems that process personal data, as they promote trust, accountability, and data protection, while also supporting human oversight, data quality, and user experience.</x:v>
      </x:c>
      <x:c r="N115" s="42" t="n">
        <x:v>4</x:v>
      </x:c>
      <x:c r="O115" s="42" t="n">
        <x:v>4</x:v>
      </x:c>
      <x:c r="P115" s="42" t="n">
        <x:v>4</x:v>
      </x:c>
      <x:c r="Q115" s="42" t="n">
        <x:v>3</x:v>
      </x:c>
      <x:c r="R115" s="42" t="n">
        <x:v>4</x:v>
      </x:c>
      <x:c r="S115" s="42" t="n">
        <x:v>4</x:v>
      </x:c>
      <x:c r="T115" s="50" t="n">
        <x:f>IF(COUNT(N115:S115)=6,AVERAGE(N115:S115),"")</x:f>
        <x:v>3.8333333333333335</x:v>
      </x:c>
      <x:c r="U115" s="34" t="str">
        <x:v>AI draft note: Covers trust, accountability, and information about processing, but the visible response under-specifies purposes, retention, sharing, and legal transparency details.</x:v>
      </x:c>
      <x:c r="V115" s="52" t="str">
        <x:v>AI draft (Codex/GPT); human review required</x:v>
      </x:c>
      <x:c r="W115" s="54" t="str">
        <x:v>2026-06-29</x:v>
      </x:c>
      <x:c r="X115" s="58" t="str">
        <x:v>AI draft - needs human review</x:v>
      </x:c>
    </x:row>
    <x:row r="116" ht="84" customHeight="1">
      <x:c r="A116" s="34" t="str">
        <x:v>T2-Q020-R1</x:v>
      </x:c>
      <x:c r="B116" s="34" t="str">
        <x:v>T2</x:v>
      </x:c>
      <x:c r="C116" s="34" t="str">
        <x:v>Q020</x:v>
      </x:c>
      <x:c r="D116" s="34" t="str">
        <x:v>1</x:v>
      </x:c>
      <x:c r="E116" s="34" t="str">
        <x:v>D2</x:v>
      </x:c>
      <x:c r="F116" s="34" t="str">
        <x:v>llama.cpp README</x:v>
      </x:c>
      <x:c r="G116" s="34" t="str">
        <x:v>boundary_limitation</x:v>
      </x:c>
      <x:c r="H116" s="34" t="str">
        <x:v>hard</x:v>
      </x:c>
      <x:c r="I116" s="34" t="str">
        <x:v>one_document</x:v>
      </x:c>
      <x:c r="J116" s="34" t="str">
        <x:v>What deployment limitation might still remain even if the runtime supports local inference?</x:v>
      </x:c>
      <x:c r="K116" s="34" t="str">
        <x:v>A good answer should note that local inference does not remove limits such as model size, memory, CPU/GPU speed, supported formats, software setup, and security of the local device. It should present local deployment as practical but still constrained.</x:v>
      </x:c>
      <x:c r="L116" s="34" t="str">
        <x:v>D2 README Description; D2 Quick start; D4 ICO security/data minimisation context</x:v>
      </x:c>
      <x:c r="M116" s="34" t="str">
        <x:v>Based on the retrieved context, here's a rephrased answer:
Even if the runtime supports local inference, there may still be deployment limitations to consider, such as:
* Limited computational resources or memory constraints, which could impact the model's performance or accuracy.
* Network constraints, such as bandwidth or latency limitations, which could affect the model's ability to be deployed locally.
* Regulatory or compliance requirements that necessitate the model to be deployed in a specific format or with certain security measures in place.
* Technical limitations, such as the need for the model to be deployed on a specific hardware platform or with specific software dependencies.
These limitations could impact the model's statistical accuracy, data minimization, and privacy protection, and may require additional measures to be taken to ensure that the model is deployed in a way that minimizes risks and protects individuals' data.</x:v>
      </x:c>
      <x:c r="N116" s="42" t="n">
        <x:v>4</x:v>
      </x:c>
      <x:c r="O116" s="42" t="n">
        <x:v>3</x:v>
      </x:c>
      <x:c r="P116" s="42" t="n">
        <x:v>3</x:v>
      </x:c>
      <x:c r="Q116" s="42" t="n">
        <x:v>3</x:v>
      </x:c>
      <x:c r="R116" s="42" t="n">
        <x:v>3</x:v>
      </x:c>
      <x:c r="S116" s="42" t="n">
        <x:v>3</x:v>
      </x:c>
      <x:c r="T116" s="50" t="n">
        <x:f>IF(COUNT(N116:S116)=6,AVERAGE(N116:S116),"")</x:f>
        <x:v>3.1666666666666665</x:v>
      </x:c>
      <x:c r="U116" s="34" t="str">
        <x:v>AI draft note: Identifies compute, memory, hardware, format, security, and compliance constraints; network limitations are less relevant to genuinely local inference.</x:v>
      </x:c>
      <x:c r="V116" s="52" t="str">
        <x:v>AI draft (Codex/GPT); human review required</x:v>
      </x:c>
      <x:c r="W116" s="54" t="str">
        <x:v>2026-06-29</x:v>
      </x:c>
      <x:c r="X116" s="58" t="str">
        <x:v>AI draft - needs human review</x:v>
      </x:c>
    </x:row>
    <x:row r="117" ht="84" customHeight="1">
      <x:c r="A117" s="34" t="str">
        <x:v>A7-Q007-R1</x:v>
      </x:c>
      <x:c r="B117" s="34" t="str">
        <x:v>A7</x:v>
      </x:c>
      <x:c r="C117" s="34" t="str">
        <x:v>Q007</x:v>
      </x:c>
      <x:c r="D117" s="34" t="str">
        <x:v>1</x:v>
      </x:c>
      <x:c r="E117" s="34" t="str">
        <x:v>D1</x:v>
      </x:c>
      <x:c r="F117" s="34" t="str">
        <x:v>RAG Paper</x:v>
      </x:c>
      <x:c r="G117" s="34" t="str">
        <x:v>fact_retrieval</x:v>
      </x:c>
      <x:c r="H117" s="34" t="str">
        <x:v>easy</x:v>
      </x:c>
      <x:c r="I117" s="34" t="str">
        <x:v>one_document</x:v>
      </x:c>
      <x:c r="J117" s="34" t="str">
        <x:v>According to the paper what kinds of tasks are considered knowledge-intensive?</x:v>
      </x:c>
      <x:c r="K117" s="34" t="str">
        <x:v>A good answer should mention open-domain question answering, abstractive QA, question generation, and fact verification as examples used in the paper. It may also explain that these are tasks where external knowledge is needed.</x:v>
      </x:c>
      <x:c r="L117" s="34" t="str">
        <x:v>D1 Experiments section 3; D1 sections 3.1-3.4</x:v>
      </x:c>
      <x:c r="M117" s="34" t="str">
        <x:v>According to the paper, the tasks considered knowledge-intensive are those that involve ar-ticulating and documenting the systems concept and objectives, underlying assumptions, context, and requirements. This includes gathering and cleaning data, documenting metadata and characteristics of the dataset, and ensuring the systems concept and objectives are ar-ticulated and documented.</x:v>
      </x:c>
      <x:c r="N117" s="42" t="n">
        <x:v>1</x:v>
      </x:c>
      <x:c r="O117" s="42" t="n">
        <x:v>1</x:v>
      </x:c>
      <x:c r="P117" s="42" t="n">
        <x:v>1</x:v>
      </x:c>
      <x:c r="Q117" s="42" t="n">
        <x:v>1</x:v>
      </x:c>
      <x:c r="R117" s="42" t="n">
        <x:v>2</x:v>
      </x:c>
      <x:c r="S117" s="42" t="n">
        <x:v>1</x:v>
      </x:c>
      <x:c r="T117" s="50" t="n">
        <x:f>IF(COUNT(N117:S117)=6,AVERAGE(N117:S117),"")</x:f>
        <x:v>1.1666666666666667</x:v>
      </x:c>
      <x:c r="U117" s="34" t="str">
        <x:v>AI draft note: Describes system documentation and data preparation rather than the paper's knowledge-intensive QA, question generation, and fact-verification tasks.</x:v>
      </x:c>
      <x:c r="V117" s="52" t="str">
        <x:v>AI draft (Codex/GPT); human review required</x:v>
      </x:c>
      <x:c r="W117" s="54" t="str">
        <x:v>2026-06-29</x:v>
      </x:c>
      <x:c r="X117" s="58" t="str">
        <x:v>AI draft - needs human review</x:v>
      </x:c>
    </x:row>
    <x:row r="118" ht="84" customHeight="1">
      <x:c r="A118" s="34" t="str">
        <x:v>T2-Q026-R1</x:v>
      </x:c>
      <x:c r="B118" s="34" t="str">
        <x:v>T2</x:v>
      </x:c>
      <x:c r="C118" s="34" t="str">
        <x:v>Q026</x:v>
      </x:c>
      <x:c r="D118" s="34" t="str">
        <x:v>1</x:v>
      </x:c>
      <x:c r="E118" s="34" t="str">
        <x:v>D3</x:v>
      </x:c>
      <x:c r="F118" s="34" t="str">
        <x:v>NIST AI RMF</x:v>
      </x:c>
      <x:c r="G118" s="34" t="str">
        <x:v>source_grounded_synthesis</x:v>
      </x:c>
      <x:c r="H118" s="34" t="str">
        <x:v>hard</x:v>
      </x:c>
      <x:c r="I118" s="34" t="str">
        <x:v>one_document</x:v>
      </x:c>
      <x:c r="J118" s="34" t="str">
        <x:v>How could the AI RMF support the privacy discussion in this dissertation?</x:v>
      </x:c>
      <x:c r="K118" s="34" t="str">
        <x:v>A good answer should link privacy to trustworthiness and risk management. It should say that privacy-enhanced AI is one trustworthiness characteristic, and that local deployment should still be assessed for risks, controls, and trade-offs.</x:v>
      </x:c>
      <x:c r="L118" s="34" t="str">
        <x:v>D3 AI RMF section 3.6 Privacy-Enhanced; D3 AI RMF Core</x:v>
      </x:c>
      <x:c r="M118" s="34" t="str">
        <x:v>The AI RMF (Risk Management Framework) could play a crucial role in supporting the privacy discussion in this dissertation. Here's how:
1. **Definition of AI-related risks**: The AI RMF provides a taxonomy and terminology for AI risks, which could help identify and categorize potential privacy-related risks associated with AI systems.
2. **Risk assessment and prioritization**: The framework could be used to assess and prioritize AI-related risks, including those related to data protection, user consent, and data breaches. This could help identify the most critical risks and inform data protection strategies.
3. **Communication of AI risks to stakeholders**: The AI RMF could be used to communicate AI risks to various stakeholders, including customers, employees, and the broader public. This could help raise awareness about potential privacy risks and encourage responsible AI development and deployment.
4. **Identification of data protection risks**: The framework could be used to identify data protection risks associated with AI systems, such as the potential for data breaches or unauthorized data collection.
5. **Development of data protection policies and procedures**: The AI RMF could be used to develop data protection policies and procedures that align with the framework's principles and recommendations.
6. **Collaboration with data protection experts**: The framework could be used to collaborate with data protection experts and organizations to develop data protection standards and guidelines for AI development and deployment.
To effectively support the privacy discussion, the AI RMF should:
* Include a section on data protection and privacy risks
* Provide guidance on data protection policies and procedures
* Offer recommendations for responsible AI development and deployment
* Encourage stakeholders to contribute to the development of the framework
By incorporating these features, the AI RMF can play a critical role in supporting the privacy discussion in this dissertation and promoting responsible AI development and deployment.</x:v>
      </x:c>
      <x:c r="N118" s="42" t="n">
        <x:v>4</x:v>
      </x:c>
      <x:c r="O118" s="42" t="n">
        <x:v>3</x:v>
      </x:c>
      <x:c r="P118" s="42" t="n">
        <x:v>3</x:v>
      </x:c>
      <x:c r="Q118" s="42" t="n">
        <x:v>3</x:v>
      </x:c>
      <x:c r="R118" s="42" t="n">
        <x:v>4</x:v>
      </x:c>
      <x:c r="S118" s="42" t="n">
        <x:v>3</x:v>
      </x:c>
      <x:c r="T118" s="50" t="n">
        <x:f>IF(COUNT(N118:S118)=6,AVERAGE(N118:S118),"")</x:f>
        <x:v>3.3333333333333335</x:v>
      </x:c>
      <x:c r="U118" s="34" t="str">
        <x:v>AI draft note: Useful privacy-risk taxonomy and prioritisation framing, but privacy-enhanced trustworthiness and local controls and trade-offs are not clearly stated.</x:v>
      </x:c>
      <x:c r="V118" s="52" t="str">
        <x:v>AI draft (Codex/GPT); human review required</x:v>
      </x:c>
      <x:c r="W118" s="54" t="str">
        <x:v>2026-06-29</x:v>
      </x:c>
      <x:c r="X118" s="58" t="str">
        <x:v>AI draft - needs human review</x:v>
      </x:c>
    </x:row>
    <x:row r="119" ht="84" customHeight="1">
      <x:c r="A119" s="34" t="str">
        <x:v>A7-Q028-R1</x:v>
      </x:c>
      <x:c r="B119" s="34" t="str">
        <x:v>A7</x:v>
      </x:c>
      <x:c r="C119" s="34" t="str">
        <x:v>Q028</x:v>
      </x:c>
      <x:c r="D119" s="34" t="str">
        <x:v>1</x:v>
      </x:c>
      <x:c r="E119" s="34" t="str">
        <x:v>D3</x:v>
      </x:c>
      <x:c r="F119" s="34" t="str">
        <x:v>NIST AI RMF</x:v>
      </x:c>
      <x:c r="G119" s="34" t="str">
        <x:v>explanation</x:v>
      </x:c>
      <x:c r="H119" s="34" t="str">
        <x:v>medium</x:v>
      </x:c>
      <x:c r="I119" s="34" t="str">
        <x:v>one_document</x:v>
      </x:c>
      <x:c r="J119" s="34" t="str">
        <x:v>How does risk management help frame deployment practicality?</x:v>
      </x:c>
      <x:c r="K119" s="34" t="str">
        <x:v>A good answer should say that deployment practicality includes managing risks, context, operational controls, monitoring, governance, and acceptable trade-offs. A model that runs is not automatically suitable unless its risks and constraints are manageable.</x:v>
      </x:c>
      <x:c r="L119" s="34" t="str">
        <x:v>D3 AI RMF Executive Summary; D3 Core functions Govern Map Measure Manage</x:v>
      </x:c>
      <x:c r="M119" s="34" t="str">
        <x:v>Risk management plays a crucial role in helping organizations effectively frame the practical deployment of AI systems. It focuses on minimizing potential negative impacts – both threats to civil liberties and rights and opportunities for positive impact – that AI systems might pose.  Specifically, risk management helps organizations prioritize and allocate resources based on the assessed risk level and potential impact of each AI system. It encourages a systematic approach to understanding and addressing risks, impacts, and harms, ensuring that resources are directed towards the most critical areas.  Furthermore, it emphasizes the need to continually apply the MANAGE function – which includes assessing trustworthiness, potential risks, needs, and expectations – as AI actors evolve over time.</x:v>
      </x:c>
      <x:c r="N119" s="42" t="n">
        <x:v>5</x:v>
      </x:c>
      <x:c r="O119" s="42" t="n">
        <x:v>4</x:v>
      </x:c>
      <x:c r="P119" s="42" t="n">
        <x:v>4</x:v>
      </x:c>
      <x:c r="Q119" s="42" t="n">
        <x:v>4</x:v>
      </x:c>
      <x:c r="R119" s="42" t="n">
        <x:v>5</x:v>
      </x:c>
      <x:c r="S119" s="42" t="n">
        <x:v>4</x:v>
      </x:c>
      <x:c r="T119" s="50" t="n">
        <x:f>IF(COUNT(N119:S119)=6,AVERAGE(N119:S119),"")</x:f>
        <x:v>4.333333333333333</x:v>
      </x:c>
      <x:c r="U119" s="34" t="str">
        <x:v>AI draft note: Strong connection between impacts, resource allocation, systematic management, context, and practical deployment; specific operational controls could be clearer.</x:v>
      </x:c>
      <x:c r="V119" s="52" t="str">
        <x:v>AI draft (Codex/GPT); human review required</x:v>
      </x:c>
      <x:c r="W119" s="54" t="str">
        <x:v>2026-06-29</x:v>
      </x:c>
      <x:c r="X119" s="58" t="str">
        <x:v>AI draft - needs human review</x:v>
      </x:c>
    </x:row>
    <x:row r="120" ht="84" customHeight="1">
      <x:c r="A120" s="34" t="str">
        <x:v>A7-Q032-R1</x:v>
      </x:c>
      <x:c r="B120" s="34" t="str">
        <x:v>A7</x:v>
      </x:c>
      <x:c r="C120" s="34" t="str">
        <x:v>Q032</x:v>
      </x:c>
      <x:c r="D120" s="34" t="str">
        <x:v>1</x:v>
      </x:c>
      <x:c r="E120" s="34" t="str">
        <x:v>D4</x:v>
      </x:c>
      <x:c r="F120" s="34" t="str">
        <x:v>ICO AI Data Protection Guidance</x:v>
      </x:c>
      <x:c r="G120" s="34" t="str">
        <x:v>explanation</x:v>
      </x:c>
      <x:c r="H120" s="34" t="str">
        <x:v>medium</x:v>
      </x:c>
      <x:c r="I120" s="34" t="str">
        <x:v>one_document</x:v>
      </x:c>
      <x:c r="J120" s="34" t="str">
        <x:v>What does lawfulness mean in the context of AI and data protection?</x:v>
      </x:c>
      <x:c r="K120" s="34" t="str">
        <x:v>A good answer should say that every distinct personal-data processing operation in AI development or deployment needs a clear purpose and an appropriate lawful basis. Training and applying a model may involve different lawful bases.</x:v>
      </x:c>
      <x:c r="L120" s="34" t="str">
        <x:v>D4 ICO lawfulness chapter</x:v>
      </x:c>
      <x:c r="M120" s="34" t="str">
        <x:v>Okay, here’s a rephrased and expanded answer based on the provided context, aiming for clarity and completeness:
**What does lawfulness mean in the context of AI and data protection?**
In the context of AI and data protection, “lawfulness” refers to ensuring that the use of artificial intelligence systems complies with all applicable laws and regulations. Specifically, it means that the AI system’s actions should be conducted within the bounds of legal obligation, public task, or vital interests.  The ICO (Information &amp; Communications Commission) provides guidance on this, emphasizing that using an AI system to process personal data should not be integral to the service itself. Instead, it’s crucial to consider an alternative lawful basis for processing the data.
The guidance highlights that the use of an AI system to process personal data may be a legal obligation in certain situations.  It also addresses questions about whether legal obligation, public task, or vital interests can be relied upon as a basis for ensuring compliance.  The ICO provides examples where the use of AI to process data might be legally required.
**Further Reading:**
*   Read our guidance on contracts.
*   Read our guidance on European Data Protection Board (EDPB) guidelines on processing under Article 6(1)(b) in the context of online services.
*   Read our guidance on inferred special category data.
**Important Note:** The ICO’s guidance is updated periodically, so it’s always best to refer to the latest version for the most current information.</x:v>
      </x:c>
      <x:c r="N120" s="42" t="n">
        <x:v>4</x:v>
      </x:c>
      <x:c r="O120" s="42" t="n">
        <x:v>3</x:v>
      </x:c>
      <x:c r="P120" s="42" t="n">
        <x:v>3</x:v>
      </x:c>
      <x:c r="Q120" s="42" t="n">
        <x:v>2</x:v>
      </x:c>
      <x:c r="R120" s="42" t="n">
        <x:v>3</x:v>
      </x:c>
      <x:c r="S120" s="42" t="n">
        <x:v>3</x:v>
      </x:c>
      <x:c r="T120" s="50" t="n">
        <x:f>IF(COUNT(N120:S120)=6,AVERAGE(N120:S120),"")</x:f>
        <x:v>3</x:v>
      </x:c>
      <x:c r="U120" s="34" t="str">
        <x:v>AI draft note: Recognises legal bases but treats lawfulness too generally and does not distinguish separate processing operations or training and application bases.</x:v>
      </x:c>
      <x:c r="V120" s="52" t="str">
        <x:v>AI draft (Codex/GPT); human review required</x:v>
      </x:c>
      <x:c r="W120" s="54" t="str">
        <x:v>2026-06-29</x:v>
      </x:c>
      <x:c r="X120" s="58" t="str">
        <x:v>AI draft - needs human review</x:v>
      </x:c>
    </x:row>
    <x:row r="121" ht="84" customHeight="1">
      <x:c r="A121" s="34" t="str">
        <x:v>F3-Q008-R1</x:v>
      </x:c>
      <x:c r="B121" s="34" t="str">
        <x:v>F3</x:v>
      </x:c>
      <x:c r="C121" s="34" t="str">
        <x:v>Q008</x:v>
      </x:c>
      <x:c r="D121" s="34" t="str">
        <x:v>1</x:v>
      </x:c>
      <x:c r="E121" s="34" t="str">
        <x:v>D1</x:v>
      </x:c>
      <x:c r="F121" s="34" t="str">
        <x:v>RAG Paper</x:v>
      </x:c>
      <x:c r="G121" s="34" t="str">
        <x:v>boundary_limitation</x:v>
      </x:c>
      <x:c r="H121" s="34" t="str">
        <x:v>medium</x:v>
      </x:c>
      <x:c r="I121" s="34" t="str">
        <x:v>one_document</x:v>
      </x:c>
      <x:c r="J121" s="34" t="str">
        <x:v>What limitation of large pre-trained models motivates the use of retrieval?</x:v>
      </x:c>
      <x:c r="K121" s="34" t="str">
        <x:v>A good answer should state that large pre-trained models can store knowledge but may struggle to access, manipulate, update, or explain it reliably. They may also hallucinate or fail to provide provenance.</x:v>
      </x:c>
      <x:c r="L121" s="34" t="str">
        <x:v>D1 abstract; D1 Introduction paragraphs 1-2</x:v>
      </x:c>
      <x:c r="M121" s="34" t="str">
        <x:v>Large pre-trained models, particularly those with deep architectures, have been shown to store factual knowledge in their parameters and achieve state-of-the-art results when tuned on downstream NLP tasks. However, these models may struggle with tasks that require more complex retrieval mechanisms, such as question answering. The limitations of large pre-trained models include:
1. Limited scope: Large pre-trained models are designed to handle a wide range of tasks, but may not be well-suited for specific, complex retrieval tasks that require specialized knowledge.
2. Overfitting: Large pre-trained models can become overfit to the training data, leading to poor performance on new, unseen tasks.
3. Complexity: Large pre-trained models may struggle with tasks that require more complex retrieval mechanisms, such as question answering, which can be challenging for neural language models.
4. Limited diversity: Large pre-trained models may not be well-suited for tasks that require diverse knowledge, such as natural language processing, which can be challenging for deep architectures.
5. Limited scalability: Large pre-trained models may not be well-suited for tasks that require scalability, such as large-scale language models, which can be challenging for deep architectures.
6. Limited interpretability: Large pre-trained models may not be well-suited for tasks that require interpretability, such as question answering, which can be challenging for neural language models.
7. Limited generalization: Large pre-trained models may not be well-suited for tasks that require generalization, such as language translation, which can be challenging for deep architectures.
8. Limited scalability: Large pre-trained models may not be well-suited for tasks that require scalability, such as large-scale language models, which can be challenging for deep architectures.
9. Limited interpretability: Large pre-trained models may not be well-suited for tasks that require interpretability, such as question answering, which can be challenging for neural language models.
10. Limited generalization: Large pre-trained models may not be well-suited for tasks that require generalization, such as language translation, which can be challenging for deep architectures.</x:v>
      </x:c>
      <x:c r="N121" s="42" t="n">
        <x:v>3</x:v>
      </x:c>
      <x:c r="O121" s="42" t="n">
        <x:v>2</x:v>
      </x:c>
      <x:c r="P121" s="42" t="n">
        <x:v>2</x:v>
      </x:c>
      <x:c r="Q121" s="42" t="n">
        <x:v>2</x:v>
      </x:c>
      <x:c r="R121" s="42" t="n">
        <x:v>2</x:v>
      </x:c>
      <x:c r="S121" s="42" t="n">
        <x:v>2</x:v>
      </x:c>
      <x:c r="T121" s="50" t="n">
        <x:f>IF(COUNT(N121:S121)=6,AVERAGE(N121:S121),"")</x:f>
        <x:v>2.1666666666666665</x:v>
      </x:c>
      <x:c r="U121" s="34" t="str">
        <x:v>AI draft note: Recognises parametric knowledge limits vaguely, but substitutes scope and overfitting claims and misses updating, explanation, provenance, and hallucination.</x:v>
      </x:c>
      <x:c r="V121" s="52" t="str">
        <x:v>AI draft (Codex/GPT); human review required</x:v>
      </x:c>
      <x:c r="W121" s="54" t="str">
        <x:v>2026-06-29</x:v>
      </x:c>
      <x:c r="X121" s="58" t="str">
        <x:v>AI draft - needs human review</x:v>
      </x:c>
    </x:row>
    <x:row r="122" ht="84" customHeight="1">
      <x:c r="A122" s="34" t="str">
        <x:v>F3-Q014-R1</x:v>
      </x:c>
      <x:c r="B122" s="34" t="str">
        <x:v>F3</x:v>
      </x:c>
      <x:c r="C122" s="34" t="str">
        <x:v>Q014</x:v>
      </x:c>
      <x:c r="D122" s="34" t="str">
        <x:v>1</x:v>
      </x:c>
      <x:c r="E122" s="34" t="str">
        <x:v>D2</x:v>
      </x:c>
      <x:c r="F122" s="34" t="str">
        <x:v>llama.cpp README</x:v>
      </x:c>
      <x:c r="G122" s="34" t="str">
        <x:v>explanation</x:v>
      </x:c>
      <x:c r="H122" s="34" t="str">
        <x:v>medium</x:v>
      </x:c>
      <x:c r="I122" s="34" t="str">
        <x:v>one_document</x:v>
      </x:c>
      <x:c r="J122" s="34" t="str">
        <x:v>How does quantisation support faster inference or lower memory use?</x:v>
      </x:c>
      <x:c r="K122" s="34" t="str">
        <x:v>A good answer should explain that quantisation stores model weights with fewer bits, such as 4-bit or 8-bit integers, reducing memory use and often improving inference speed. It should also note that quality may change, so it must be benchmarked.</x:v>
      </x:c>
      <x:c r="L122" s="34" t="str">
        <x:v>D2 README Description quantisation bullet; D2 quantisation documentation reference</x:v>
      </x:c>
      <x:c r="M122" s="34" t="str">
        <x:v>Quantisation supports faster inference and reduced memory use by enabling faster inference and reducing memory usage in models. The project is designed to enable LLM inference with minimal setup and state-of-the-art performance on a wide range of hardware, including local and cloud-based setups. The main playground for developing new features for the ggml library is the llama.cpp project, which is the main playground for developing new features for the ggml library. The llama.cpp project is the main playground for developing new features for the ggml library.</x:v>
      </x:c>
      <x:c r="N122" s="42" t="n">
        <x:v>3</x:v>
      </x:c>
      <x:c r="O122" s="42" t="n">
        <x:v>2</x:v>
      </x:c>
      <x:c r="P122" s="42" t="n">
        <x:v>2</x:v>
      </x:c>
      <x:c r="Q122" s="42" t="n">
        <x:v>1</x:v>
      </x:c>
      <x:c r="R122" s="42" t="n">
        <x:v>3</x:v>
      </x:c>
      <x:c r="S122" s="42" t="n">
        <x:v>2</x:v>
      </x:c>
      <x:c r="T122" s="50" t="n">
        <x:f>IF(COUNT(N122:S122)=6,AVERAGE(N122:S122),"")</x:f>
        <x:v>2.1666666666666665</x:v>
      </x:c>
      <x:c r="U122" s="34" t="str">
        <x:v>AI draft note: States faster inference and lower memory but never explains fewer-bit weight storage or quality trade-offs and becomes repetitive.</x:v>
      </x:c>
      <x:c r="V122" s="52" t="str">
        <x:v>AI draft (Codex/GPT); human review required</x:v>
      </x:c>
      <x:c r="W122" s="54" t="str">
        <x:v>2026-06-29</x:v>
      </x:c>
      <x:c r="X122" s="58" t="str">
        <x:v>AI draft - needs human review</x:v>
      </x:c>
    </x:row>
    <x:row r="123" ht="84" customHeight="1">
      <x:c r="A123" s="34" t="str">
        <x:v>A7-Q031-R1</x:v>
      </x:c>
      <x:c r="B123" s="34" t="str">
        <x:v>A7</x:v>
      </x:c>
      <x:c r="C123" s="34" t="str">
        <x:v>Q031</x:v>
      </x:c>
      <x:c r="D123" s="34" t="str">
        <x:v>1</x:v>
      </x:c>
      <x:c r="E123" s="34" t="str">
        <x:v>D4</x:v>
      </x:c>
      <x:c r="F123" s="34" t="str">
        <x:v>ICO AI Data Protection Guidance</x:v>
      </x:c>
      <x:c r="G123" s="34" t="str">
        <x:v>explanation</x:v>
      </x:c>
      <x:c r="H123" s="34" t="str">
        <x:v>medium</x:v>
      </x:c>
      <x:c r="I123" s="34" t="str">
        <x:v>one_document</x:v>
      </x:c>
      <x:c r="J123" s="34" t="str">
        <x:v>Why are transparency and explainability important for AI systems that process personal data?</x:v>
      </x:c>
      <x:c r="K123" s="34" t="str">
        <x:v>A good answer should explain that people need clear information about how their personal data is processed, including purposes, retention, and sharing. Transparency helps comply with data protection obligations and supports explainability around AI use.</x:v>
      </x:c>
      <x:c r="L123" s="34" t="str">
        <x:v>D4 ICO transparency chapter</x:v>
      </x:c>
      <x:c r="M123" s="34" t="str">
        <x:v>Okay, here’s a rephrased and expanded answer based on the provided context, aiming for clarity and incorporating key points:
“Transparency and explainability are crucial for AI systems that handle personal data because they’re designed to be accountable and trustworthy.  The core principle of transparency – meaning being open about how you process data – is essential for building confidence in the AI system.  When we’re transparent about *why* we’re using personal data, it allows individuals to understand how their information is being utilized.  This understanding fosters trust and enables them to make informed decisions about how their data is handled.
Beyond simply being transparent, it’s also vital for several reasons.  Firstly, transparency helps us comply with legal and ethical obligations.  The principle of transparency directly relates to our responsibility to protect individuals’ privacy. Secondly, increased transparency helps us identify and address potential issues, such as biases in our models, which can have significant consequences.  Finally, it’s important for providing actionable redress if an AI system produces outputs that cause harm or disadvantage individuals.  The entire lifecycle of an AI system – from design and training to deployment and use – contributes to transparency, and a complete understanding of this process is vital for maintaining ethical and responsible AI practices.”
---
**Key additions/clarifications:**
*   **Expanded on the "why":** I’ve elaborated on *why* transparency and explainability are important – trust, accountability, and addressing potential issues.
*   **Linked to legal and ethical obligations:** I’ve added a point about compliance with legal and ethical standards.
*   **Highlighted the lifecycle of the AI system:**  I've included the idea that transparency extends throughout the entire system's lifespan.
Do you want me to refine this further, perhaps focusing on a specific aspect or adding more detail?</x:v>
      </x:c>
      <x:c r="N123" s="42" t="n">
        <x:v>4</x:v>
      </x:c>
      <x:c r="O123" s="42" t="n">
        <x:v>4</x:v>
      </x:c>
      <x:c r="P123" s="42" t="n">
        <x:v>4</x:v>
      </x:c>
      <x:c r="Q123" s="42" t="n">
        <x:v>3</x:v>
      </x:c>
      <x:c r="R123" s="42" t="n">
        <x:v>4</x:v>
      </x:c>
      <x:c r="S123" s="42" t="n">
        <x:v>4</x:v>
      </x:c>
      <x:c r="T123" s="50" t="n">
        <x:f>IF(COUNT(N123:S123)=6,AVERAGE(N123:S123),"")</x:f>
        <x:v>3.8333333333333335</x:v>
      </x:c>
      <x:c r="U123" s="34" t="str">
        <x:v>AI draft note: Explains openness, accountability, trust, and why data is used; retention and sharing details are not clearly covered.</x:v>
      </x:c>
      <x:c r="V123" s="52" t="str">
        <x:v>AI draft (Codex/GPT); human review required</x:v>
      </x:c>
      <x:c r="W123" s="54" t="str">
        <x:v>2026-06-29</x:v>
      </x:c>
      <x:c r="X123" s="58" t="str">
        <x:v>AI draft - needs human review</x:v>
      </x:c>
    </x:row>
    <x:row r="124" ht="84" customHeight="1">
      <x:c r="A124" s="34" t="str">
        <x:v>A7-Q029-R1</x:v>
      </x:c>
      <x:c r="B124" s="34" t="str">
        <x:v>A7</x:v>
      </x:c>
      <x:c r="C124" s="34" t="str">
        <x:v>Q029</x:v>
      </x:c>
      <x:c r="D124" s="34" t="str">
        <x:v>1</x:v>
      </x:c>
      <x:c r="E124" s="34" t="str">
        <x:v>D3</x:v>
      </x:c>
      <x:c r="F124" s="34" t="str">
        <x:v>NIST AI RMF</x:v>
      </x:c>
      <x:c r="G124" s="34" t="str">
        <x:v>comparison</x:v>
      </x:c>
      <x:c r="H124" s="34" t="str">
        <x:v>medium</x:v>
      </x:c>
      <x:c r="I124" s="34" t="str">
        <x:v>one_document</x:v>
      </x:c>
      <x:c r="J124" s="34" t="str">
        <x:v>Why is it useful to separate technical performance from broader trust and governance concerns?</x:v>
      </x:c>
      <x:c r="K124" s="34" t="str">
        <x:v>A good answer should explain that high technical performance does not guarantee transparency, security, fairness, privacy, or accountability. Separating these concepts makes the dissertation recommendation conditional and more defensible.</x:v>
      </x:c>
      <x:c r="L124" s="34" t="str">
        <x:v>D3 AI RMF section 3 trustworthiness; D3 Figure 4 discussion</x:v>
      </x:c>
      <x:c r="M124" s="34" t="str">
        <x:v>Okay, here’s a rephrased and expanded answer to your question, drawing on the provided context:
“It’s beneficial to separate technical performance from broader trust and governance concerns because it allows for a more holistic approach to AI risk management. While technical performance – like accuracy or speed – is crucial, it’s not sufficient on its own.  The context surrounding AI systems – including social and organizational behavior, the data they’re trained on, the models used, and the decisions made by those building them – is equally important.  By focusing on trustworthiness characteristics (as outlined in Figure 4), we can proactively prevent negative risks and develop AI systems that are more reliable and beneficial.  This separation enables us to better understand the context in which AI operates, identify potential issues, and ultimately improve the overall trustworthiness of these systems.”
---
**Note:** The answer directly addresses your question and incorporates the key points from the provided context.</x:v>
      </x:c>
      <x:c r="N124" s="42" t="n">
        <x:v>5</x:v>
      </x:c>
      <x:c r="O124" s="42" t="n">
        <x:v>4</x:v>
      </x:c>
      <x:c r="P124" s="42" t="n">
        <x:v>4</x:v>
      </x:c>
      <x:c r="Q124" s="42" t="n">
        <x:v>4</x:v>
      </x:c>
      <x:c r="R124" s="42" t="n">
        <x:v>5</x:v>
      </x:c>
      <x:c r="S124" s="42" t="n">
        <x:v>4</x:v>
      </x:c>
      <x:c r="T124" s="50" t="n">
        <x:f>IF(COUNT(N124:S124)=6,AVERAGE(N124:S124),"")</x:f>
        <x:v>4.333333333333333</x:v>
      </x:c>
      <x:c r="U124" s="34" t="str">
        <x:v>AI draft note: Strongly distinguishes technical metrics from social, organisational, data, and decision concerns; conditional recommendation is only implicit.</x:v>
      </x:c>
      <x:c r="V124" s="52" t="str">
        <x:v>AI draft (Codex/GPT); human review required</x:v>
      </x:c>
      <x:c r="W124" s="54" t="str">
        <x:v>2026-06-29</x:v>
      </x:c>
      <x:c r="X124" s="58" t="str">
        <x:v>AI draft - needs human review</x:v>
      </x:c>
    </x:row>
    <x:row r="125" ht="84" customHeight="1">
      <x:c r="A125" s="34" t="str">
        <x:v>K8-Q017-R1</x:v>
      </x:c>
      <x:c r="B125" s="34" t="str">
        <x:v>K8</x:v>
      </x:c>
      <x:c r="C125" s="34" t="str">
        <x:v>Q017</x:v>
      </x:c>
      <x:c r="D125" s="34" t="str">
        <x:v>1</x:v>
      </x:c>
      <x:c r="E125" s="34" t="str">
        <x:v>D2</x:v>
      </x:c>
      <x:c r="F125" s="34" t="str">
        <x:v>llama.cpp README</x:v>
      </x:c>
      <x:c r="G125" s="34" t="str">
        <x:v>fact_retrieval</x:v>
      </x:c>
      <x:c r="H125" s="34" t="str">
        <x:v>medium</x:v>
      </x:c>
      <x:c r="I125" s="34" t="str">
        <x:v>one_document</x:v>
      </x:c>
      <x:c r="J125" s="34" t="str">
        <x:v>What hardware or backend options are described as relevant to llama.cpp deployment?</x:v>
      </x:c>
      <x:c r="K125" s="34" t="str">
        <x:v>A good answer should mention at least several of the supported hardware/backend options such as x86 CPU instruction sets, Apple silicon, CUDA, HIP, Vulkan, SYCL, and CPU+GPU hybrid inference.</x:v>
      </x:c>
      <x:c r="L125" s="34" t="str">
        <x:v>D2 README Description hardware/backend bullets</x:v>
      </x:c>
      <x:c r="M125" s="34" t="str">
        <x:v>The context provided describes several hardware and backend options that are relevant to the deployment of llama.cpp, including:
- The hardware: Ascend NPU, IBM zDNN, and IBM Z &amp; LinuxONE
- The backend: OpenCL, Adreno GPU, and WebGPU
- The specific model: LLaMA, Hugging Face, and Docker
The context also mentions the "Obtaining and quantizing models" section, which is likely to be relevant to the hardware options. The context also mentions the "Quick start" section, which is likely to be relevant to the backend options.</x:v>
      </x:c>
      <x:c r="N125" s="42" t="n">
        <x:v>3</x:v>
      </x:c>
      <x:c r="O125" s="42" t="n">
        <x:v>2</x:v>
      </x:c>
      <x:c r="P125" s="42" t="n">
        <x:v>2</x:v>
      </x:c>
      <x:c r="Q125" s="42" t="n">
        <x:v>2</x:v>
      </x:c>
      <x:c r="R125" s="42" t="n">
        <x:v>2</x:v>
      </x:c>
      <x:c r="S125" s="42" t="n">
        <x:v>2</x:v>
      </x:c>
      <x:c r="T125" s="50" t="n">
        <x:f>IF(COUNT(N125:S125)=6,AVERAGE(N125:S125),"")</x:f>
        <x:v>2.1666666666666665</x:v>
      </x:c>
      <x:c r="U125" s="34" t="str">
        <x:v>AI draft note: Lists some supported minor backends, but omits principal x86, Apple, CUDA, HIP, Vulkan, SYCL, and hybrid options and mixes models with hardware.</x:v>
      </x:c>
      <x:c r="V125" s="52" t="str">
        <x:v>AI draft (Codex/GPT); human review required</x:v>
      </x:c>
      <x:c r="W125" s="54" t="str">
        <x:v>2026-06-29</x:v>
      </x:c>
      <x:c r="X125" s="58" t="str">
        <x:v>AI draft - needs human review</x:v>
      </x:c>
    </x:row>
    <x:row r="126" ht="84" customHeight="1">
      <x:c r="A126" s="34" t="str">
        <x:v>A7-Q040-R1</x:v>
      </x:c>
      <x:c r="B126" s="34" t="str">
        <x:v>A7</x:v>
      </x:c>
      <x:c r="C126" s="34" t="str">
        <x:v>Q040</x:v>
      </x:c>
      <x:c r="D126" s="34" t="str">
        <x:v>1</x:v>
      </x:c>
      <x:c r="E126" s="34" t="str">
        <x:v>D1+D2+D3+D4</x:v>
      </x:c>
      <x:c r="F126" s="34" t="str">
        <x:v>Multiple Sources</x:v>
      </x:c>
      <x:c r="G126" s="34" t="str">
        <x:v>source_grounded_synthesis</x:v>
      </x:c>
      <x:c r="H126" s="34" t="str">
        <x:v>hard</x:v>
      </x:c>
      <x:c r="I126" s="34" t="str">
        <x:v>multiple_documents</x:v>
      </x:c>
      <x:c r="J126" s="34" t="str">
        <x:v>Based on the source documents why should the dissertation conclusion be a conditional recommendation rather than a single universal winner?</x:v>
      </x:c>
      <x:c r="K126" s="34" t="str">
        <x:v>A good answer should synthesise that RAG improves grounding, llama.cpp enables local deployment and quantisation, NIST frames broader risk/trustworthiness, and ICO shows remaining data protection duties. Therefore the best configuration depends on priorities such as quality, speed, memory, practicality, and privacy risk, rather than one universal winner.</x:v>
      </x:c>
      <x:c r="L126" s="34" t="str">
        <x:v>D1 RAG motivation; D2 local inference and quantisation; D3 trustworthiness/risk management; D4 data protection obligations</x:v>
      </x:c>
      <x:c r="M126" s="34" t="str">
        <x:v>Okay, here’s a rephrased and combined answer based on the provided context, aiming for clarity and a logical flow:
“The dissertation conclusion is presented as a conditional recommendation because the source documents highlight a nuanced approach to evaluating claims. The retrieval process, which involves examining multiple documents, leads to a more comprehensive understanding of the topic. This means that the system isn’t simply selecting the ‘best’ answer; it’s considering multiple perspectives and evidence, which results in a more informed and targeted recommendation.  Essentially, the system is acknowledging that there isn’t a single definitive winner; instead, it suggests a range of possibilities based on the gathered information.”
**Key additions/clarifications based on the context:**
*   **Focus on the retrieval process:** The answer emphasizes that the retrieval is crucial and leads to a more complete picture.
*   **Conditional nature:** It highlights that the recommendation isn't a simple "winner" but rather a "conditional" recommendation, acknowledging the complexity of the topic.
*   **Evidence-based:** The mention of extracting sentences from Wikipedia supports the conditional nature of the recommendation.
Let me know if you'd like me to refine this further!</x:v>
      </x:c>
      <x:c r="N126" s="42" t="n">
        <x:v>3</x:v>
      </x:c>
      <x:c r="O126" s="42" t="n">
        <x:v>3</x:v>
      </x:c>
      <x:c r="P126" s="42" t="n">
        <x:v>2</x:v>
      </x:c>
      <x:c r="Q126" s="42" t="n">
        <x:v>2</x:v>
      </x:c>
      <x:c r="R126" s="42" t="n">
        <x:v>4</x:v>
      </x:c>
      <x:c r="S126" s="42" t="n">
        <x:v>2</x:v>
      </x:c>
      <x:c r="T126" s="50" t="n">
        <x:f>IF(COUNT(N126:S126)=6,AVERAGE(N126:S126),"")</x:f>
        <x:v>2.6666666666666665</x:v>
      </x:c>
      <x:c r="U126" s="34" t="str">
        <x:v>AI draft note: Recognises nuanced evidence and multiple priorities, but does not synthesise llama.cpp, NIST, ICO, model resources, or concrete conditional choices.</x:v>
      </x:c>
      <x:c r="V126" s="52" t="str">
        <x:v>AI draft (Codex/GPT); human review required</x:v>
      </x:c>
      <x:c r="W126" s="54" t="str">
        <x:v>2026-06-29</x:v>
      </x:c>
      <x:c r="X126" s="58" t="str">
        <x:v>AI draft - needs human review</x:v>
      </x:c>
    </x:row>
    <x:row r="127" ht="84" customHeight="1">
      <x:c r="A127" s="34" t="str">
        <x:v>R9-Q006-R1</x:v>
      </x:c>
      <x:c r="B127" s="34" t="str">
        <x:v>R9</x:v>
      </x:c>
      <x:c r="C127" s="34" t="str">
        <x:v>Q006</x:v>
      </x:c>
      <x:c r="D127" s="34" t="str">
        <x:v>1</x:v>
      </x:c>
      <x:c r="E127" s="34" t="str">
        <x:v>D1</x:v>
      </x:c>
      <x:c r="F127" s="34" t="str">
        <x:v>RAG Paper</x:v>
      </x:c>
      <x:c r="G127" s="34" t="str">
        <x:v>comparison</x:v>
      </x:c>
      <x:c r="H127" s="34" t="str">
        <x:v>medium</x:v>
      </x:c>
      <x:c r="I127" s="34" t="str">
        <x:v>one_document</x:v>
      </x:c>
      <x:c r="J127" s="34" t="str">
        <x:v>What is the difference between generating from model parameters alone and generating with retrieved passages?</x:v>
      </x:c>
      <x:c r="K127" s="34" t="str">
        <x:v>A good answer should contrast closed-book generation with retrieval-augmented generation. Parametric-only generation relies on internal model weights, while RAG adds retrieved passages as evidence and context, allowing more specific and factual answers when retrieval succeeds.</x:v>
      </x:c>
      <x:c r="L127" s="34" t="str">
        <x:v>D1 Introduction; D1 Open-domain QA section; D1 Results sections 4.1-4.3</x:v>
      </x:c>
      <x:c r="M127" s="34" t="str">
        <x:v>The difference between generating from model parameters alone and generating with retrieved passages lies in the way the model incorporates external context. When generating from model parameters alone, the model relies solely on the parameters of the model to generate the output sequence. This means that the model does not use any external context or information beyond the input sequence. On the other hand, when generating with retrieved passages, the model uses the retrieved text documents as additional context when generating the target sequence. This means that the model incorporates external context beyond the input sequence, which can improve the quality and relevance of the generated output.</x:v>
      </x:c>
      <x:c r="N127" s="42" t="n">
        <x:v>5</x:v>
      </x:c>
      <x:c r="O127" s="42" t="n">
        <x:v>5</x:v>
      </x:c>
      <x:c r="P127" s="42" t="n">
        <x:v>5</x:v>
      </x:c>
      <x:c r="Q127" s="42" t="n">
        <x:v>4</x:v>
      </x:c>
      <x:c r="R127" s="42" t="n">
        <x:v>5</x:v>
      </x:c>
      <x:c r="S127" s="42" t="n">
        <x:v>5</x:v>
      </x:c>
      <x:c r="T127" s="50" t="n">
        <x:f>IF(COUNT(N127:S127)=6,AVERAGE(N127:S127),"")</x:f>
        <x:v>4.833333333333333</x:v>
      </x:c>
      <x:c r="U127" s="34" t="str">
        <x:v>AI draft note: Clear closed-book versus retrieved-context contrast; it could state the resulting factuality and specificity benefit more explicitly.</x:v>
      </x:c>
      <x:c r="V127" s="52" t="str">
        <x:v>AI draft (Codex/GPT); human review required</x:v>
      </x:c>
      <x:c r="W127" s="54" t="str">
        <x:v>2026-06-29</x:v>
      </x:c>
      <x:c r="X127" s="58" t="str">
        <x:v>AI draft - needs human review</x:v>
      </x:c>
    </x:row>
    <x:row r="128" ht="84" customHeight="1">
      <x:c r="A128" s="34" t="str">
        <x:v>T2-Q033-R1</x:v>
      </x:c>
      <x:c r="B128" s="34" t="str">
        <x:v>T2</x:v>
      </x:c>
      <x:c r="C128" s="34" t="str">
        <x:v>Q033</x:v>
      </x:c>
      <x:c r="D128" s="34" t="str">
        <x:v>1</x:v>
      </x:c>
      <x:c r="E128" s="34" t="str">
        <x:v>D4</x:v>
      </x:c>
      <x:c r="F128" s="34" t="str">
        <x:v>ICO AI Data Protection Guidance</x:v>
      </x:c>
      <x:c r="G128" s="34" t="str">
        <x:v>explanation</x:v>
      </x:c>
      <x:c r="H128" s="34" t="str">
        <x:v>medium</x:v>
      </x:c>
      <x:c r="I128" s="34" t="str">
        <x:v>one_document</x:v>
      </x:c>
      <x:c r="J128" s="34" t="str">
        <x:v>Why are accuracy and statistical accuracy relevant to AI outputs?</x:v>
      </x:c>
      <x:c r="K128" s="34" t="str">
        <x:v>A good answer should distinguish data-protection accuracy, meaning personal data is accurate and up to date, from statistical accuracy, meaning how often an AI system gives correct answers against test data. Both matter because inaccurate outputs can affect fairness and personal-data processing.</x:v>
      </x:c>
      <x:c r="L128" s="34" t="str">
        <x:v>D4 ICO accuracy and statistical accuracy chapter</x:v>
      </x:c>
      <x:c r="M128" s="34" t="str">
        <x:v>Accurate AI outputs are crucial to ensure that personal data is handled fairly and lawfully. Here's why accuracy and statistical accuracy are relevant:
**Accuracy:**
Accurate AI outputs are essential to prevent misinterpretation of personal data. If an AI system is not accurate, it may generate outputs that are misinterpreted as factual information about an individual. This can lead to unjustified adverse effects on the individual, such as:
*   Misleading information that affects employment, education, or other important decisions
*   Discrimination or bias in decision-making processes
*   Unfair treatment or punishment based on incorrect information
**Statistical Accuracy:**
Statistical accuracy is also vital to ensure that AI outputs are reliable and trustworthy. While accuracy is about predicting the truth, statistical accuracy is about predicting the probability of the truth. This is particularly important when dealing with personal data, as it can be used to make decisions that affect individuals.
For example, if an AI system is not statistically accurate, it may generate outputs that are based on a 50% chance of being true, rather than a 100% probability. This can lead to incorrect conclusions and unfair treatment of individuals.
**Why statistical accuracy is not enough:**
While statistical accuracy is an important consideration, it is not enough to ensure compliance with the fairness principle. Statistical accuracy is a measure of how accurate an AI system is, but it does not necessarily mean that the outputs are fair or lawful.
**Why accuracy is more important:**
Accuracy is more important than statistical accuracy because it ensures that AI outputs are reliable and trustworthy. If an AI system is not accurate, it may generate outputs that are based on incorrect information, which can lead to unfair treatment or discrimination.
**Conclusion:**
In conclusion, accuracy and statistical accuracy are crucial to ensure that personal data is handled fairly and lawfully. While statistical accuracy is an important consideration, accuracy is more critical to prevent misinterpretation and unfair treatment. By prioritizing accuracy and statistical accuracy, AI systems can provide reliable and trustworthy outputs that respect the rights and dignity of individuals.</x:v>
      </x:c>
      <x:c r="N128" s="42" t="n">
        <x:v>4</x:v>
      </x:c>
      <x:c r="O128" s="42" t="n">
        <x:v>3</x:v>
      </x:c>
      <x:c r="P128" s="42" t="n">
        <x:v>3</x:v>
      </x:c>
      <x:c r="Q128" s="42" t="n">
        <x:v>3</x:v>
      </x:c>
      <x:c r="R128" s="42" t="n">
        <x:v>4</x:v>
      </x:c>
      <x:c r="S128" s="42" t="n">
        <x:v>3</x:v>
      </x:c>
      <x:c r="T128" s="50" t="n">
        <x:f>IF(COUNT(N128:S128)=6,AVERAGE(N128:S128),"")</x:f>
        <x:v>3.3333333333333335</x:v>
      </x:c>
      <x:c r="U128" s="34" t="str">
        <x:v>AI draft note: Explains harms from inaccurate outputs and fairness, but does not cleanly distinguish accurate personal data from test-set statistical performance.</x:v>
      </x:c>
      <x:c r="V128" s="52" t="str">
        <x:v>AI draft (Codex/GPT); human review required</x:v>
      </x:c>
      <x:c r="W128" s="54" t="str">
        <x:v>2026-06-29</x:v>
      </x:c>
      <x:c r="X128" s="58" t="str">
        <x:v>AI draft - needs human review</x:v>
      </x:c>
    </x:row>
    <x:row r="129" ht="84" customHeight="1">
      <x:c r="A129" s="34" t="str">
        <x:v>F3-Q029-R1</x:v>
      </x:c>
      <x:c r="B129" s="34" t="str">
        <x:v>F3</x:v>
      </x:c>
      <x:c r="C129" s="34" t="str">
        <x:v>Q029</x:v>
      </x:c>
      <x:c r="D129" s="34" t="str">
        <x:v>1</x:v>
      </x:c>
      <x:c r="E129" s="34" t="str">
        <x:v>D3</x:v>
      </x:c>
      <x:c r="F129" s="34" t="str">
        <x:v>NIST AI RMF</x:v>
      </x:c>
      <x:c r="G129" s="34" t="str">
        <x:v>comparison</x:v>
      </x:c>
      <x:c r="H129" s="34" t="str">
        <x:v>medium</x:v>
      </x:c>
      <x:c r="I129" s="34" t="str">
        <x:v>one_document</x:v>
      </x:c>
      <x:c r="J129" s="34" t="str">
        <x:v>Why is it useful to separate technical performance from broader trust and governance concerns?</x:v>
      </x:c>
      <x:c r="K129" s="34" t="str">
        <x:v>A good answer should explain that high technical performance does not guarantee transparency, security, fairness, privacy, or accountability. Separating these concepts makes the dissertation recommendation conditional and more defensible.</x:v>
      </x:c>
      <x:c r="L129" s="34" t="str">
        <x:v>D3 AI RMF section 3 trustworthiness; D3 Figure 4 discussion</x:v>
      </x:c>
      <x:c r="M129" s="34" t="str">
        <x:v>It is useful to separate technical performance from broader trust and governance concerns because technical performance is a critical aspect of AI systems, but it is also influenced by broader trust and governance concerns. Technical performance refers to the operational efficiency and accuracy of AI systems, while broader trust and governance concerns involve the ethical, social, and organizational behavior of AI systems. Separating these concerns allows organizations to focus on the specific metrics and metrics related to AI trustworthiness characteristics, which are crucial for ensuring the reliability and trustworthiness of AI systems.</x:v>
      </x:c>
      <x:c r="N129" s="42" t="n">
        <x:v>4</x:v>
      </x:c>
      <x:c r="O129" s="42" t="n">
        <x:v>3</x:v>
      </x:c>
      <x:c r="P129" s="42" t="n">
        <x:v>3</x:v>
      </x:c>
      <x:c r="Q129" s="42" t="n">
        <x:v>3</x:v>
      </x:c>
      <x:c r="R129" s="42" t="n">
        <x:v>4</x:v>
      </x:c>
      <x:c r="S129" s="42" t="n">
        <x:v>3</x:v>
      </x:c>
      <x:c r="T129" s="50" t="n">
        <x:f>IF(COUNT(N129:S129)=6,AVERAGE(N129:S129),"")</x:f>
        <x:v>3.3333333333333335</x:v>
      </x:c>
      <x:c r="U129" s="34" t="str">
        <x:v>AI draft note: Correctly separates operational metrics from ethics and governance, but does not clearly name privacy, security, accountability, or conditional recommendations.</x:v>
      </x:c>
      <x:c r="V129" s="52" t="str">
        <x:v>AI draft (Codex/GPT); human review required</x:v>
      </x:c>
      <x:c r="W129" s="54" t="str">
        <x:v>2026-06-29</x:v>
      </x:c>
      <x:c r="X129" s="58" t="str">
        <x:v>AI draft - needs human review</x:v>
      </x:c>
    </x:row>
    <x:row r="130" ht="84" customHeight="1">
      <x:c r="A130" s="34" t="str">
        <x:v>R9-Q020-R1</x:v>
      </x:c>
      <x:c r="B130" s="34" t="str">
        <x:v>R9</x:v>
      </x:c>
      <x:c r="C130" s="34" t="str">
        <x:v>Q020</x:v>
      </x:c>
      <x:c r="D130" s="34" t="str">
        <x:v>1</x:v>
      </x:c>
      <x:c r="E130" s="34" t="str">
        <x:v>D2</x:v>
      </x:c>
      <x:c r="F130" s="34" t="str">
        <x:v>llama.cpp README</x:v>
      </x:c>
      <x:c r="G130" s="34" t="str">
        <x:v>boundary_limitation</x:v>
      </x:c>
      <x:c r="H130" s="34" t="str">
        <x:v>hard</x:v>
      </x:c>
      <x:c r="I130" s="34" t="str">
        <x:v>one_document</x:v>
      </x:c>
      <x:c r="J130" s="34" t="str">
        <x:v>What deployment limitation might still remain even if the runtime supports local inference?</x:v>
      </x:c>
      <x:c r="K130" s="34" t="str">
        <x:v>A good answer should note that local inference does not remove limits such as model size, memory, CPU/GPU speed, supported formats, software setup, and security of the local device. It should present local deployment as practical but still constrained.</x:v>
      </x:c>
      <x:c r="L130" s="34" t="str">
        <x:v>D2 README Description; D2 Quick start; D4 ICO security/data minimisation context</x:v>
      </x:c>
      <x:c r="M130" s="34" t="str">
        <x:v>The deployment limitation that might still remain even if the runtime supports local inference is the risk of white box attacks. As the model provider, you will be less easily able to monitor the model during deployment and thereby assess and mitigate the risk of privacy attacks on it. However, you remain responsible for assessing and mitigating the risk.</x:v>
      </x:c>
      <x:c r="N130" s="42" t="n">
        <x:v>3</x:v>
      </x:c>
      <x:c r="O130" s="42" t="n">
        <x:v>3</x:v>
      </x:c>
      <x:c r="P130" s="42" t="n">
        <x:v>3</x:v>
      </x:c>
      <x:c r="Q130" s="42" t="n">
        <x:v>1</x:v>
      </x:c>
      <x:c r="R130" s="42" t="n">
        <x:v>4</x:v>
      </x:c>
      <x:c r="S130" s="42" t="n">
        <x:v>3</x:v>
      </x:c>
      <x:c r="T130" s="50" t="n">
        <x:f>IF(COUNT(N130:S130)=6,AVERAGE(N130:S130),"")</x:f>
        <x:v>2.8333333333333335</x:v>
      </x:c>
      <x:c r="U130" s="34" t="str">
        <x:v>AI draft note: Identifies a genuine local model privacy risk, but omits model size, memory, compute speed, format, setup, and device-security limitations.</x:v>
      </x:c>
      <x:c r="V130" s="52" t="str">
        <x:v>AI draft (Codex/GPT); human review required</x:v>
      </x:c>
      <x:c r="W130" s="54" t="str">
        <x:v>2026-06-29</x:v>
      </x:c>
      <x:c r="X130" s="58" t="str">
        <x:v>AI draft - needs human review</x:v>
      </x:c>
    </x:row>
    <x:row r="131" ht="84" customHeight="1">
      <x:c r="A131" s="34" t="str">
        <x:v>A7-Q020-R1</x:v>
      </x:c>
      <x:c r="B131" s="34" t="str">
        <x:v>A7</x:v>
      </x:c>
      <x:c r="C131" s="34" t="str">
        <x:v>Q020</x:v>
      </x:c>
      <x:c r="D131" s="34" t="str">
        <x:v>1</x:v>
      </x:c>
      <x:c r="E131" s="34" t="str">
        <x:v>D2</x:v>
      </x:c>
      <x:c r="F131" s="34" t="str">
        <x:v>llama.cpp README</x:v>
      </x:c>
      <x:c r="G131" s="34" t="str">
        <x:v>boundary_limitation</x:v>
      </x:c>
      <x:c r="H131" s="34" t="str">
        <x:v>hard</x:v>
      </x:c>
      <x:c r="I131" s="34" t="str">
        <x:v>one_document</x:v>
      </x:c>
      <x:c r="J131" s="34" t="str">
        <x:v>What deployment limitation might still remain even if the runtime supports local inference?</x:v>
      </x:c>
      <x:c r="K131" s="34" t="str">
        <x:v>A good answer should note that local inference does not remove limits such as model size, memory, CPU/GPU speed, supported formats, software setup, and security of the local device. It should present local deployment as practical but still constrained.</x:v>
      </x:c>
      <x:c r="L131" s="34" t="str">
        <x:v>D2 README Description; D2 Quick start; D4 ICO security/data minimisation context</x:v>
      </x:c>
      <x:c r="M131" s="34" t="str">
        <x:v>Okay, let’s break down this question and address it within the context of statistical accuracy post-deployment.
Here’s a response that combines the retrieved context and provides a thoughtful answer:
“Given the context, the primary challenge remains that even with runtime support for local inference, statistical accuracy post-deployment might still present challenges.  The retrieved material highlights that these methods may not be sufficiently mature or appropriate for deployment in your specific context.  Therefore, it’s crucial to proactively manage expectations and continuously monitor developments in these approaches.
As part of your obligation to implement data protection by design and by default, you should consider a phased approach to evaluation.  This means starting with a rigorous assessment of statistical accuracy *from the design phase* and conducting thorough testing throughout the deployment lifecycle.  This includes establishing clear metrics and benchmarks to evaluate accuracy, and identifying potential risks associated with the model’s performance.
Furthermore, considering the risk of white-box attacks when providing the model to a third party, you’ll need to implement robust security measures and monitoring.  However, you remain ultimately responsible for assessing and mitigating these risks, even with local inference capabilities.  This ongoing monitoring and assessment are vital to ensure the model’s continued effectiveness and compliance with data protection regulations.”
---
**Key elements of this answer:**
*   **Acknowledges the ongoing challenge:** It directly addresses the core issue as outlined in the context.
*   **Highlights the limitations:** It emphasizes that the current methods might not be sufficient for full deployment.
*   **Suggests a phased approach:**  It advocates for a proactive, iterative process.
*   **Focuses on risk assessment:** It emphasizes the need to identify and mitigate potential threats.
*   **Addresses the third-party concern:** It acknowledges the security implications of sharing the model.
*   **Reinforces responsibility:** It reiterates the provider's continued responsibility for risk management.
Would you like me to elaborate on any specific aspect of this response, such as potential metrics for evaluating accuracy, or risk mitigation strategies?</x:v>
      </x:c>
      <x:c r="N131" s="42" t="n">
        <x:v>3</x:v>
      </x:c>
      <x:c r="O131" s="42" t="n">
        <x:v>2</x:v>
      </x:c>
      <x:c r="P131" s="42" t="n">
        <x:v>2</x:v>
      </x:c>
      <x:c r="Q131" s="42" t="n">
        <x:v>2</x:v>
      </x:c>
      <x:c r="R131" s="42" t="n">
        <x:v>3</x:v>
      </x:c>
      <x:c r="S131" s="42" t="n">
        <x:v>2</x:v>
      </x:c>
      <x:c r="T131" s="50" t="n">
        <x:f>IF(COUNT(N131:S131)=6,AVERAGE(N131:S131),"")</x:f>
        <x:v>2.3333333333333335</x:v>
      </x:c>
      <x:c r="U131" s="34" t="str">
        <x:v>AI draft note: Notes post-deployment accuracy and maturity constraints but largely misses hardware, memory, model size, formats, setup, and local security.</x:v>
      </x:c>
      <x:c r="V131" s="52" t="str">
        <x:v>AI draft (Codex/GPT); human review required</x:v>
      </x:c>
      <x:c r="W131" s="54" t="str">
        <x:v>2026-06-29</x:v>
      </x:c>
      <x:c r="X131" s="58" t="str">
        <x:v>AI draft - needs human review</x:v>
      </x:c>
    </x:row>
    <x:row r="132" ht="84" customHeight="1">
      <x:c r="A132" s="34" t="str">
        <x:v>R9-Q005-R1</x:v>
      </x:c>
      <x:c r="B132" s="34" t="str">
        <x:v>R9</x:v>
      </x:c>
      <x:c r="C132" s="34" t="str">
        <x:v>Q005</x:v>
      </x:c>
      <x:c r="D132" s="34" t="str">
        <x:v>1</x:v>
      </x:c>
      <x:c r="E132" s="34" t="str">
        <x:v>D1</x:v>
      </x:c>
      <x:c r="F132" s="34" t="str">
        <x:v>RAG Paper</x:v>
      </x:c>
      <x:c r="G132" s="34" t="str">
        <x:v>explanation</x:v>
      </x:c>
      <x:c r="H132" s="34" t="str">
        <x:v>medium</x:v>
      </x:c>
      <x:c r="I132" s="34" t="str">
        <x:v>one_document</x:v>
      </x:c>
      <x:c r="J132" s="34" t="str">
        <x:v>How can retrieval help a model access knowledge that is not stored in its parameters?</x:v>
      </x:c>
      <x:c r="K132" s="34" t="str">
        <x:v>A good answer should explain that retrieval lets the system look up information from an external index at inference time instead of relying only on memorised model parameters. The external index can also be replaced or updated more easily than model weights.</x:v>
      </x:c>
      <x:c r="L132" s="34" t="str">
        <x:v>D1 Introduction; D1 final paragraph of Introduction</x:v>
      </x:c>
      <x:c r="M132" s="34" t="str">
        <x:v>Retrieval can help a model access knowledge that is not stored in its parameters by using the input sequence to retrieve text documents and incorporating them as additional context when generating the target sequence. This allows the model to learn from a wider range of information beyond what is explicitly stored in its parameters.</x:v>
      </x:c>
      <x:c r="N132" s="42" t="n">
        <x:v>5</x:v>
      </x:c>
      <x:c r="O132" s="42" t="n">
        <x:v>4</x:v>
      </x:c>
      <x:c r="P132" s="42" t="n">
        <x:v>4</x:v>
      </x:c>
      <x:c r="Q132" s="42" t="n">
        <x:v>3</x:v>
      </x:c>
      <x:c r="R132" s="42" t="n">
        <x:v>5</x:v>
      </x:c>
      <x:c r="S132" s="42" t="n">
        <x:v>4</x:v>
      </x:c>
      <x:c r="T132" s="50" t="n">
        <x:f>IF(COUNT(N132:S132)=6,AVERAGE(N132:S132),"")</x:f>
        <x:v>4.166666666666667</x:v>
      </x:c>
      <x:c r="U132" s="34" t="str">
        <x:v>AI draft note: Correctly explains external retrieval as added context beyond parameters, but does not mention easier index replacement or updating.</x:v>
      </x:c>
      <x:c r="V132" s="52" t="str">
        <x:v>AI draft (Codex/GPT); human review required</x:v>
      </x:c>
      <x:c r="W132" s="54" t="str">
        <x:v>2026-06-29</x:v>
      </x:c>
      <x:c r="X132" s="58" t="str">
        <x:v>AI draft - needs human review</x:v>
      </x:c>
    </x:row>
    <x:row r="133" ht="84" customHeight="1">
      <x:c r="A133" s="34" t="str">
        <x:v>R9-Q008-R1</x:v>
      </x:c>
      <x:c r="B133" s="34" t="str">
        <x:v>R9</x:v>
      </x:c>
      <x:c r="C133" s="34" t="str">
        <x:v>Q008</x:v>
      </x:c>
      <x:c r="D133" s="34" t="str">
        <x:v>1</x:v>
      </x:c>
      <x:c r="E133" s="34" t="str">
        <x:v>D1</x:v>
      </x:c>
      <x:c r="F133" s="34" t="str">
        <x:v>RAG Paper</x:v>
      </x:c>
      <x:c r="G133" s="34" t="str">
        <x:v>boundary_limitation</x:v>
      </x:c>
      <x:c r="H133" s="34" t="str">
        <x:v>medium</x:v>
      </x:c>
      <x:c r="I133" s="34" t="str">
        <x:v>one_document</x:v>
      </x:c>
      <x:c r="J133" s="34" t="str">
        <x:v>What limitation of large pre-trained models motivates the use of retrieval?</x:v>
      </x:c>
      <x:c r="K133" s="34" t="str">
        <x:v>A good answer should state that large pre-trained models can store knowledge but may struggle to access, manipulate, update, or explain it reliably. They may also hallucinate or fail to provide provenance.</x:v>
      </x:c>
      <x:c r="L133" s="34" t="str">
        <x:v>D1 abstract; D1 Introduction paragraphs 1-2</x:v>
      </x:c>
      <x:c r="M133" s="34" t="str">
        <x:v>The limitation of large pre-trained models is their inability to directly access and retrieve information from external sources, such as databases or the internet. This limitation is motivated by the desire to expand the space of possible tasks that can be addressed with a single, unified architecture, by learning a retrieval module to augment pre-trained, generative language models.</x:v>
      </x:c>
      <x:c r="N133" s="42" t="n">
        <x:v>4</x:v>
      </x:c>
      <x:c r="O133" s="42" t="n">
        <x:v>4</x:v>
      </x:c>
      <x:c r="P133" s="42" t="n">
        <x:v>4</x:v>
      </x:c>
      <x:c r="Q133" s="42" t="n">
        <x:v>3</x:v>
      </x:c>
      <x:c r="R133" s="42" t="n">
        <x:v>5</x:v>
      </x:c>
      <x:c r="S133" s="42" t="n">
        <x:v>4</x:v>
      </x:c>
      <x:c r="T133" s="50" t="n">
        <x:f>IF(COUNT(N133:S133)=6,AVERAGE(N133:S133),"")</x:f>
        <x:v>4</x:v>
      </x:c>
      <x:c r="U133" s="34" t="str">
        <x:v>AI draft note: Correctly identifies lack of external knowledge access and retrieval augmentation, but omits updates, manipulation, provenance, explanation, and hallucination.</x:v>
      </x:c>
      <x:c r="V133" s="52" t="str">
        <x:v>AI draft (Codex/GPT); human review required</x:v>
      </x:c>
      <x:c r="W133" s="54" t="str">
        <x:v>2026-06-29</x:v>
      </x:c>
      <x:c r="X133" s="58" t="str">
        <x:v>AI draft - needs human review</x:v>
      </x:c>
    </x:row>
    <x:row r="134" ht="84" customHeight="1">
      <x:c r="A134" s="34" t="str">
        <x:v>A7-Q011-R1</x:v>
      </x:c>
      <x:c r="B134" s="34" t="str">
        <x:v>A7</x:v>
      </x:c>
      <x:c r="C134" s="34" t="str">
        <x:v>Q011</x:v>
      </x:c>
      <x:c r="D134" s="34" t="str">
        <x:v>1</x:v>
      </x:c>
      <x:c r="E134" s="34" t="str">
        <x:v>D2</x:v>
      </x:c>
      <x:c r="F134" s="34" t="str">
        <x:v>llama.cpp README</x:v>
      </x:c>
      <x:c r="G134" s="34" t="str">
        <x:v>fact_retrieval</x:v>
      </x:c>
      <x:c r="H134" s="34" t="str">
        <x:v>easy</x:v>
      </x:c>
      <x:c r="I134" s="34" t="str">
        <x:v>one_document</x:v>
      </x:c>
      <x:c r="J134" s="34" t="str">
        <x:v>What is the main purpose of llama.cpp?</x:v>
      </x:c>
      <x:c r="K134" s="34" t="str">
        <x:v>A good answer should state that llama.cpp enables LLM inference in C/C++ with minimal setup and strong performance across local and cloud hardware.</x:v>
      </x:c>
      <x:c r="L134" s="34" t="str">
        <x:v>D2 README title; D2 Description section</x:v>
      </x:c>
      <x:c r="M134" s="34" t="str">
        <x:v>Okay, here’s a rephrased and expanded answer to your question, incorporating the provided context and adding some general knowledge:
The main purpose of llama.cpp is to make it easier to run Large Language Models (LLMs) – models that can understand and generate human-like text – with minimal setup and excellent performance across a variety of tools. It’s designed to enable LLM inference on a wide range of hardware, allowing developers and users to leverage these powerful models effectively.
Here’s a breakdown of what the context tells us:
*   **Getting Started:** You’ll need a model to work with before you can start using llama.cpp.
*   **Obtaining and Quantizing Models:** The tool provides guidance on how to obtain and quantize models – which involves reducing the size of the model to make it run more efficiently.
*   **Command Examples:** The context includes several example commands to demonstrate how to launch llama.cpp with different models.
*   **Support for Models:** It offers support for models like GPT-oss, which is a specific model format.
*   **Future Developments:** The project is actively working on improvements, including multimodal support and enhanced packaging for downstream applications.
Essentially, llama.cpp is a toolset that simplifies the process of using LLMs, making them more accessible and practical for a broader range of users.
**In short, llama.cpp’s goal is to provide a streamlined way to run LLMs with high performance.**
**Disclaimer:** The provided context doesn’t cover all aspects of llama.cpp, such as specific model formats or advanced features.</x:v>
      </x:c>
      <x:c r="N134" s="42" t="n">
        <x:v>5</x:v>
      </x:c>
      <x:c r="O134" s="42" t="n">
        <x:v>4</x:v>
      </x:c>
      <x:c r="P134" s="42" t="n">
        <x:v>4</x:v>
      </x:c>
      <x:c r="Q134" s="42" t="n">
        <x:v>4</x:v>
      </x:c>
      <x:c r="R134" s="42" t="n">
        <x:v>4</x:v>
      </x:c>
      <x:c r="S134" s="42" t="n">
        <x:v>4</x:v>
      </x:c>
      <x:c r="T134" s="50" t="n">
        <x:f>IF(COUNT(N134:S134)=6,AVERAGE(N134:S134),"")</x:f>
        <x:v>4.166666666666667</x:v>
      </x:c>
      <x:c r="U134" s="34" t="str">
        <x:v>AI draft note: Strong minimal-setup, efficient, broad-hardware inference explanation; C/C++ and cloud scope could be stated more precisely.</x:v>
      </x:c>
      <x:c r="V134" s="52" t="str">
        <x:v>AI draft (Codex/GPT); human review required</x:v>
      </x:c>
      <x:c r="W134" s="54" t="str">
        <x:v>2026-06-29</x:v>
      </x:c>
      <x:c r="X134" s="58" t="str">
        <x:v>AI draft - needs human review</x:v>
      </x:c>
    </x:row>
    <x:row r="135" ht="84" customHeight="1">
      <x:c r="A135" s="34" t="str">
        <x:v>M4-Q039-R1</x:v>
      </x:c>
      <x:c r="B135" s="34" t="str">
        <x:v>M4</x:v>
      </x:c>
      <x:c r="C135" s="34" t="str">
        <x:v>Q039</x:v>
      </x:c>
      <x:c r="D135" s="34" t="str">
        <x:v>1</x:v>
      </x:c>
      <x:c r="E135" s="34" t="str">
        <x:v>D2+D4</x:v>
      </x:c>
      <x:c r="F135" s="34" t="str">
        <x:v>llama.cpp README and ICO AI Data Protection Guidance</x:v>
      </x:c>
      <x:c r="G135" s="34" t="str">
        <x:v>source_grounded_synthesis</x:v>
      </x:c>
      <x:c r="H135" s="34" t="str">
        <x:v>hard</x:v>
      </x:c>
      <x:c r="I135" s="34" t="str">
        <x:v>multiple_documents</x:v>
      </x:c>
      <x:c r="J135" s="34" t="str">
        <x:v>How do technical deployment choices connect to privacy and data protection concerns?</x:v>
      </x:c>
      <x:c r="K135" s="34" t="str">
        <x:v>A good answer should connect local runtime, GGUF/quantised models, and local server setup with data protection questions about data flows, security, logs, dependencies, access control, minimisation, and privacy attacks. It should state that technical architecture affects but does not settle privacy.</x:v>
      </x:c>
      <x:c r="L135" s="34" t="str">
        <x:v>D2 README Description/llama-server/GGUF; D4 security and data minimisation; D4 lawfulness/transparency</x:v>
      </x:c>
      <x:c r="M135" s="34" t="str">
        <x:v>Technical deployment choices in AI systems can significantly impact privacy and data protection concerns. For instance, the specific features of an AI system can either promote or reduce privacy. Additionally, AI systems can introduce new privacy risks, such as allowing inference to identify individuals or previously private information about individuals. Privacy-enhancing technologies (PETs) for AI, like data anonymization and encryption, can help protect privacy. These norms and practices often address issues like freedom from intrusion, limiting observation, and individuals' agency over consent to disclose or control aspects of their identities, such as body, data, and reputation. 
Privacy values like anonymity, confidentiality, and control should guide the design, development, and deployment of AI systems. Privacy-related risks can be mitigated through careful assessment and mitigation of the risk that personal data used to train models might be exposed due to how clients deploy the model. This requires collaboration between parties to understand the particular deployment contexts and associated threat models. In procurement policies, there should be sufficient information sharing to ensure each party can perform their respective responsibilities effectively.</x:v>
      </x:c>
      <x:c r="N135" s="42" t="n">
        <x:v>3</x:v>
      </x:c>
      <x:c r="O135" s="42" t="n">
        <x:v>3</x:v>
      </x:c>
      <x:c r="P135" s="42" t="n">
        <x:v>3</x:v>
      </x:c>
      <x:c r="Q135" s="42" t="n">
        <x:v>2</x:v>
      </x:c>
      <x:c r="R135" s="42" t="n">
        <x:v>4</x:v>
      </x:c>
      <x:c r="S135" s="42" t="n">
        <x:v>3</x:v>
      </x:c>
      <x:c r="T135" s="50" t="n">
        <x:f>IF(COUNT(N135:S135)=6,AVERAGE(N135:S135),"")</x:f>
        <x:v>3</x:v>
      </x:c>
      <x:c r="U135" s="34" t="str">
        <x:v>AI draft note: Discusses architecture-dependent privacy and PETs, but omits local runtime, quantisation, server logs, dependencies, access control, minimisation, and data flows.</x:v>
      </x:c>
      <x:c r="V135" s="52" t="str">
        <x:v>AI draft (Codex/GPT); human review required</x:v>
      </x:c>
      <x:c r="W135" s="54" t="str">
        <x:v>2026-06-29</x:v>
      </x:c>
      <x:c r="X135" s="58" t="str">
        <x:v>AI draft - needs human review</x:v>
      </x:c>
    </x:row>
    <x:row r="136" ht="84" customHeight="1">
      <x:c r="A136" s="34" t="str">
        <x:v>T2-Q021-R1</x:v>
      </x:c>
      <x:c r="B136" s="34" t="str">
        <x:v>T2</x:v>
      </x:c>
      <x:c r="C136" s="34" t="str">
        <x:v>Q021</x:v>
      </x:c>
      <x:c r="D136" s="34" t="str">
        <x:v>1</x:v>
      </x:c>
      <x:c r="E136" s="34" t="str">
        <x:v>D3</x:v>
      </x:c>
      <x:c r="F136" s="34" t="str">
        <x:v>NIST AI RMF</x:v>
      </x:c>
      <x:c r="G136" s="34" t="str">
        <x:v>fact_retrieval</x:v>
      </x:c>
      <x:c r="H136" s="34" t="str">
        <x:v>easy</x:v>
      </x:c>
      <x:c r="I136" s="34" t="str">
        <x:v>one_document</x:v>
      </x:c>
      <x:c r="J136" s="34" t="str">
        <x:v>What is the purpose of the NIST AI Risk Management Framework?</x:v>
      </x:c>
      <x:c r="K136" s="34" t="str">
        <x:v>A good answer should state that the AI RMF is a voluntary framework for managing AI risks and improving the incorporation of trustworthiness considerations into AI design, development, use, and evaluation.</x:v>
      </x:c>
      <x:c r="L136" s="34" t="str">
        <x:v>D3 NIST AI RMF web overview; D3 AI RMF Executive Summary</x:v>
      </x:c>
      <x:c r="M136" s="34" t="str">
        <x:v>The NIST AI Risk Management Framework (RMF) is designed to help organizations minimize potential negative impacts of AI systems by addressing, documenting, and managing AI risks and potential negative impacts effectively. The framework aims to provide a structured approach to evaluating and mitigating risks associated with AI systems, ultimately leading to more trustworthy AI systems.
To achieve this purpose, the NIST AI RMF 1.0 Part 1: Foundational Information focuses on:
1. Understanding and Addressing Risks, Impacts, and Harms: This includes identifying, assessing, and mitigating risks related to AI systems, including their policies, processes, practices, implementation plans, indicators, measurements, and expected outcomes.
2. Enhanced Processes for Governing, Mapping, Measuring, and Managing AI Risk: The framework provides guidelines for developing and implementing effective processes for governing, mapping, measuring, and managing AI risks.
3. Clearly Documenting Outcomes: The framework emphasizes the importance of documenting AI risk management outcomes to ensure transparency and accountability.
4. Improved AI Risk Management: The framework aims to improve AI risk management by providing a structured approach to evaluating and mitigating risks associated with AI systems.
The NIST AI RMF 1.0 Part 2: Core of the Framework describes four specific functions to help organizations address the risks of AI systems in practice:
1. GOVERN: This function applies to all stages of an organization's AI system development and deployment, focusing on governing AI-related policies, processes, and practices.
2. MAP: This function involves mapping AI-related risks, impacts, and harms to identify areas of concern and prioritize mitigation efforts.
3. MEASURE: This function involves measuring AI-related risks and impacts to assess their severity and effectiveness of mitigation efforts.
4. MANAGE: This function involves managing AI-related risks and impacts to ensure they are effectively addressed and minimized.
By providing a structured approach to AI risk management, the NIST AI RMF aims to help organizations develop more trustworthy AI systems that minimize potential negative impacts while maximizing positive impacts.</x:v>
      </x:c>
      <x:c r="N136" s="42" t="n">
        <x:v>5</x:v>
      </x:c>
      <x:c r="O136" s="42" t="n">
        <x:v>4</x:v>
      </x:c>
      <x:c r="P136" s="42" t="n">
        <x:v>4</x:v>
      </x:c>
      <x:c r="Q136" s="42" t="n">
        <x:v>4</x:v>
      </x:c>
      <x:c r="R136" s="42" t="n">
        <x:v>5</x:v>
      </x:c>
      <x:c r="S136" s="42" t="n">
        <x:v>4</x:v>
      </x:c>
      <x:c r="T136" s="50" t="n">
        <x:f>IF(COUNT(N136:S136)=6,AVERAGE(N136:S136),"")</x:f>
        <x:v>4.333333333333333</x:v>
      </x:c>
      <x:c r="U136" s="34" t="str">
        <x:v>AI draft note: Strong structured risk-management and trustworthy-AI explanation; voluntary status and explicit design-to-evaluation lifecycle are not clearly stated.</x:v>
      </x:c>
      <x:c r="V136" s="52" t="str">
        <x:v>AI draft (Codex/GPT); human review required</x:v>
      </x:c>
      <x:c r="W136" s="54" t="str">
        <x:v>2026-06-29</x:v>
      </x:c>
      <x:c r="X136" s="58" t="str">
        <x:v>AI draft - needs human review</x:v>
      </x:c>
    </x:row>
    <x:row r="137" ht="84" customHeight="1">
      <x:c r="A137" s="34" t="str">
        <x:v>K8-Q034-R1</x:v>
      </x:c>
      <x:c r="B137" s="34" t="str">
        <x:v>K8</x:v>
      </x:c>
      <x:c r="C137" s="34" t="str">
        <x:v>Q034</x:v>
      </x:c>
      <x:c r="D137" s="34" t="str">
        <x:v>1</x:v>
      </x:c>
      <x:c r="E137" s="34" t="str">
        <x:v>D4</x:v>
      </x:c>
      <x:c r="F137" s="34" t="str">
        <x:v>ICO AI Data Protection Guidance</x:v>
      </x:c>
      <x:c r="G137" s="34" t="str">
        <x:v>explanation</x:v>
      </x:c>
      <x:c r="H137" s="34" t="str">
        <x:v>medium</x:v>
      </x:c>
      <x:c r="I137" s="34" t="str">
        <x:v>one_document</x:v>
      </x:c>
      <x:c r="J137" s="34" t="str">
        <x:v>How do security and data minimisation relate to AI deployment?</x:v>
      </x:c>
      <x:c r="K137" s="34" t="str">
        <x:v>A good answer should state that AI systems can worsen security risks and make data minimisation harder. Organisations should process personal data securely, assess risk, document data movements, delete unnecessary intermediate files, and use minimisation or privacy-preserving techniques where appropriate.</x:v>
      </x:c>
      <x:c r="L137" s="34" t="str">
        <x:v>D4 ICO security and data minimisation chapter</x:v>
      </x:c>
      <x:c r="M137" s="34" t="str">
        <x:v>The context provided suggests that the question is asking about the relationship between security and data minimisation when assessing AI deployment. The context indicates that this involves considering how AI systems can exacerbate known security risks and make them more difficult to manage. The relevant information includes:
- A section explaining how AI can introduce security risks and make them harder to manage.
- A reference to the challenge of compliance with the data minimisation principle.
- A list of techniques for both data minimisation and effective AI development.
The context implies that the question is asking about the broader implications of security and data minimisation when AI is being deployed, rather than just how AI can affect security. The answer likely involves considering the broader context of AI deployment, its impact on security, and the challenges of data minimisation. The answer should discuss the broader implications of AI deployment, its impact on security, and the challenges of data minimisation. It should also consider the broader context of AI development and its impact on security. The answer should provide a comprehensive explanation of how AI can affect security and data minimisation in AI, including the broader context of AI deployment and its impact on security, as well as the challenges of data minimisation. The answer should also consider the broader context of AI development and its impact on security, including the broader context of AI development and its impact on security.</x:v>
      </x:c>
      <x:c r="N137" s="42" t="n">
        <x:v>4</x:v>
      </x:c>
      <x:c r="O137" s="42" t="n">
        <x:v>4</x:v>
      </x:c>
      <x:c r="P137" s="42" t="n">
        <x:v>4</x:v>
      </x:c>
      <x:c r="Q137" s="42" t="n">
        <x:v>3</x:v>
      </x:c>
      <x:c r="R137" s="42" t="n">
        <x:v>5</x:v>
      </x:c>
      <x:c r="S137" s="42" t="n">
        <x:v>4</x:v>
      </x:c>
      <x:c r="T137" s="50" t="n">
        <x:f>IF(COUNT(N137:S137)=6,AVERAGE(N137:S137),"")</x:f>
        <x:v>4</x:v>
      </x:c>
      <x:c r="U137" s="34" t="str">
        <x:v>AI draft note: Correctly identifies increased security risk and minimisation difficulty, but lacks concrete secure processing, data-flow, intermediate-file, and control details.</x:v>
      </x:c>
      <x:c r="V137" s="52" t="str">
        <x:v>AI draft (Codex/GPT); human review required</x:v>
      </x:c>
      <x:c r="W137" s="54" t="str">
        <x:v>2026-06-29</x:v>
      </x:c>
      <x:c r="X137" s="58" t="str">
        <x:v>AI draft - needs human review</x:v>
      </x:c>
    </x:row>
    <x:row r="138" ht="84" customHeight="1">
      <x:c r="A138" s="34" t="str">
        <x:v>K8-Q032-R1</x:v>
      </x:c>
      <x:c r="B138" s="34" t="str">
        <x:v>K8</x:v>
      </x:c>
      <x:c r="C138" s="34" t="str">
        <x:v>Q032</x:v>
      </x:c>
      <x:c r="D138" s="34" t="str">
        <x:v>1</x:v>
      </x:c>
      <x:c r="E138" s="34" t="str">
        <x:v>D4</x:v>
      </x:c>
      <x:c r="F138" s="34" t="str">
        <x:v>ICO AI Data Protection Guidance</x:v>
      </x:c>
      <x:c r="G138" s="34" t="str">
        <x:v>explanation</x:v>
      </x:c>
      <x:c r="H138" s="34" t="str">
        <x:v>medium</x:v>
      </x:c>
      <x:c r="I138" s="34" t="str">
        <x:v>one_document</x:v>
      </x:c>
      <x:c r="J138" s="34" t="str">
        <x:v>What does lawfulness mean in the context of AI and data protection?</x:v>
      </x:c>
      <x:c r="K138" s="34" t="str">
        <x:v>A good answer should say that every distinct personal-data processing operation in AI development or deployment needs a clear purpose and an appropriate lawful basis. Training and applying a model may involve different lawful bases.</x:v>
      </x:c>
      <x:c r="L138" s="34" t="str">
        <x:v>D4 ICO lawfulness chapter</x:v>
      </x:c>
      <x:c r="M138" s="34" t="str">
        <x:v>In the context of AI and data protection, ensuring lawfulness is a critical consideration. According to the information provided, for the use of an AI system to process personal data to be lawful, there are several key points to consider:
1. **The AI system is not integral to the service**: If the AI system is not essential to the functionality of the service, it may not be considered lawful.
2. **The use may be a legal obligation**: If the use of the AI system is a legal obligation, it may not be considered lawful.
3. **The use may be a public task or vital interests**: If the use is a public task or involves vital interests, it may not be considered lawful.
4. **The use may be a legal obligation or a public task or vital interests**: If the use is a legal obligation or a public task or vital interests, it may not be considered lawful.
The reference to the special category data guidance was updated to reflect the latest changes to the guidance on the use of AI in the context of online services. This is because the guidance no longer focuses on the certainty of an inference as a relevant factor to decide whether it counts as special category data. The underlying policy position remains the same, but the explanation was clarified in the context of the updated guidance.
This information is relevant to the question of how to ensure lawfulness in AI, as it provides a framework for understanding the use of AI in the context of online services. The answer suggests that for the use of AI to be lawful, it may not be considered lawful if it is a legal obligation or involves a public task or vital interests.</x:v>
      </x:c>
      <x:c r="N138" s="42" t="n">
        <x:v>3</x:v>
      </x:c>
      <x:c r="O138" s="42" t="n">
        <x:v>1</x:v>
      </x:c>
      <x:c r="P138" s="42" t="n">
        <x:v>1</x:v>
      </x:c>
      <x:c r="Q138" s="42" t="n">
        <x:v>1</x:v>
      </x:c>
      <x:c r="R138" s="42" t="n">
        <x:v>1</x:v>
      </x:c>
      <x:c r="S138" s="42" t="n">
        <x:v>1</x:v>
      </x:c>
      <x:c r="T138" s="50" t="n">
        <x:f>IF(COUNT(N138:S138)=6,AVERAGE(N138:S138),"")</x:f>
        <x:v>1.3333333333333333</x:v>
      </x:c>
      <x:c r="U138" s="34" t="str">
        <x:v>AI draft note: Misstates when legal bases apply and repeatedly says lawful bases may make processing unlawful; distinct operations and training/deployment bases are absent.</x:v>
      </x:c>
      <x:c r="V138" s="52" t="str">
        <x:v>AI draft (Codex/GPT); human review required</x:v>
      </x:c>
      <x:c r="W138" s="54" t="str">
        <x:v>2026-06-29</x:v>
      </x:c>
      <x:c r="X138" s="58" t="str">
        <x:v>AI draft - needs human review</x:v>
      </x:c>
    </x:row>
    <x:row r="139" ht="84" customHeight="1">
      <x:c r="A139" s="34" t="str">
        <x:v>T2-Q040-R1</x:v>
      </x:c>
      <x:c r="B139" s="34" t="str">
        <x:v>T2</x:v>
      </x:c>
      <x:c r="C139" s="34" t="str">
        <x:v>Q040</x:v>
      </x:c>
      <x:c r="D139" s="34" t="str">
        <x:v>1</x:v>
      </x:c>
      <x:c r="E139" s="34" t="str">
        <x:v>D1+D2+D3+D4</x:v>
      </x:c>
      <x:c r="F139" s="34" t="str">
        <x:v>Multiple Sources</x:v>
      </x:c>
      <x:c r="G139" s="34" t="str">
        <x:v>source_grounded_synthesis</x:v>
      </x:c>
      <x:c r="H139" s="34" t="str">
        <x:v>hard</x:v>
      </x:c>
      <x:c r="I139" s="34" t="str">
        <x:v>multiple_documents</x:v>
      </x:c>
      <x:c r="J139" s="34" t="str">
        <x:v>Based on the source documents why should the dissertation conclusion be a conditional recommendation rather than a single universal winner?</x:v>
      </x:c>
      <x:c r="K139" s="34" t="str">
        <x:v>A good answer should synthesise that RAG improves grounding, llama.cpp enables local deployment and quantisation, NIST frames broader risk/trustworthiness, and ICO shows remaining data protection duties. Therefore the best configuration depends on priorities such as quality, speed, memory, practicality, and privacy risk, rather than one universal winner.</x:v>
      </x:c>
      <x:c r="L139" s="34" t="str">
        <x:v>D1 RAG motivation; D2 local inference and quantisation; D3 trustworthiness/risk management; D4 data protection obligations</x:v>
      </x:c>
      <x:c r="M139" s="34" t="str">
        <x:v>Based on the retrieved context, the answer is:
The dissertation conclusion should be a conditional recommendation rather than a single universal winner because the dissertation conclusion is based on the analysis of multiple source documents, including factuality and specificity, which suggests that it is a nuanced and context-dependent recommendation. This approach allows for a more accurate and informed conclusion, rather than a single, absolute recommendation that may not be supported by all the evidence.
This answer combines the concepts of factuality and specificity, which are mentioned in the context as being used to evaluate the reliability of the dissertation conclusion. The factuality of the sources suggests that the conclusion is based on a thorough analysis of multiple documents, while the specificity of the conclusion implies that it is a well-reasoned and context-dependent recommendation.
The answer also highlights the importance of considering multiple sources and evaluating their reliability when making a recommendation. This approach allows for a more accurate and informed conclusion, rather than relying on a single, absolute recommendation that may not be supported by all the evidence.</x:v>
      </x:c>
      <x:c r="N139" s="42" t="n">
        <x:v>3</x:v>
      </x:c>
      <x:c r="O139" s="42" t="n">
        <x:v>2</x:v>
      </x:c>
      <x:c r="P139" s="42" t="n">
        <x:v>2</x:v>
      </x:c>
      <x:c r="Q139" s="42" t="n">
        <x:v>1</x:v>
      </x:c>
      <x:c r="R139" s="42" t="n">
        <x:v>3</x:v>
      </x:c>
      <x:c r="S139" s="42" t="n">
        <x:v>2</x:v>
      </x:c>
      <x:c r="T139" s="50" t="n">
        <x:f>IF(COUNT(N139:S139)=6,AVERAGE(N139:S139),"")</x:f>
        <x:v>2.1666666666666665</x:v>
      </x:c>
      <x:c r="U139" s="34" t="str">
        <x:v>AI draft note: Recognises context dependence but substitutes factuality and specificity discussion and omits all requested source and resource trade-offs.</x:v>
      </x:c>
      <x:c r="V139" s="52" t="str">
        <x:v>AI draft (Codex/GPT); human review required</x:v>
      </x:c>
      <x:c r="W139" s="54" t="str">
        <x:v>2026-06-29</x:v>
      </x:c>
      <x:c r="X139" s="58" t="str">
        <x:v>AI draft - needs human review</x:v>
      </x:c>
    </x:row>
    <x:row r="140" ht="84" customHeight="1">
      <x:c r="A140" s="34" t="str">
        <x:v>A7-Q004-R1</x:v>
      </x:c>
      <x:c r="B140" s="34" t="str">
        <x:v>A7</x:v>
      </x:c>
      <x:c r="C140" s="34" t="str">
        <x:v>Q004</x:v>
      </x:c>
      <x:c r="D140" s="34" t="str">
        <x:v>1</x:v>
      </x:c>
      <x:c r="E140" s="34" t="str">
        <x:v>D1</x:v>
      </x:c>
      <x:c r="F140" s="34" t="str">
        <x:v>RAG Paper</x:v>
      </x:c>
      <x:c r="G140" s="34" t="str">
        <x:v>fact_retrieval</x:v>
      </x:c>
      <x:c r="H140" s="34" t="str">
        <x:v>easy</x:v>
      </x:c>
      <x:c r="I140" s="34" t="str">
        <x:v>one_document</x:v>
      </x:c>
      <x:c r="J140" s="34" t="str">
        <x:v>What is the role of the retriever in a RAG pipeline?</x:v>
      </x:c>
      <x:c r="K140" s="34" t="str">
        <x:v>A good answer should say that the retriever takes the input query, searches a document index, and returns top relevant text passages. These passages become context for the generator.</x:v>
      </x:c>
      <x:c r="L140" s="34" t="str">
        <x:v>D1 Methods section 2; D1 Retriever section 2.2</x:v>
      </x:c>
      <x:c r="M140" s="34" t="str">
        <x:v>According to the provided context, the retriever plays a crucial role in a RAG (Retrieval-Augmented Generation) pipeline. It’s used to retrieve relevant information from a knowledge base before the generator produces an answer. 
Here’s a breakdown of its function:
*   **Retrieval:** The retriever uses retrieval supervision to find relevant documents before the generator.
*   **Initial Retrieval:** RAG initially uses a DPR (Retrieval-Based Pointer Retriever) retriever, which relies on natural questions and triviaQA to find relevant documents.
*   **Ranking &amp; Re-ranking:** The retriever then uses a BERT-based cross-encoder to re-rank the retrieved documents.
*   **Diversity:** RAG-Sequences generates more diverse outputs than RAG-Tokens, and both are significantly more diverse than BART without needing any diversity-promoting decoding.
</x:v>
      </x:c>
      <x:c r="N140" s="42" t="n">
        <x:v>4</x:v>
      </x:c>
      <x:c r="O140" s="42" t="n">
        <x:v>3</x:v>
      </x:c>
      <x:c r="P140" s="42" t="n">
        <x:v>3</x:v>
      </x:c>
      <x:c r="Q140" s="42" t="n">
        <x:v>4</x:v>
      </x:c>
      <x:c r="R140" s="42" t="n">
        <x:v>3</x:v>
      </x:c>
      <x:c r="S140" s="42" t="n">
        <x:v>3</x:v>
      </x:c>
      <x:c r="T140" s="50" t="n">
        <x:f>IF(COUNT(N140:S140)=6,AVERAGE(N140:S140),"")</x:f>
        <x:v>3.3333333333333335</x:v>
      </x:c>
      <x:c r="U140" s="34" t="str">
        <x:v>AI draft note: Explains retrieval before generation and relevant documents, but adds inaccurate DPR naming and unrelated reranking and diversity claims.</x:v>
      </x:c>
      <x:c r="V140" s="52" t="str">
        <x:v>AI draft (Codex/GPT); human review required</x:v>
      </x:c>
      <x:c r="W140" s="54" t="str">
        <x:v>2026-06-29</x:v>
      </x:c>
      <x:c r="X140" s="58" t="str">
        <x:v>AI draft - needs human review</x:v>
      </x:c>
    </x:row>
    <x:row r="141" ht="84" customHeight="1">
      <x:c r="A141" s="34" t="str">
        <x:v>M4-Q038-R1</x:v>
      </x:c>
      <x:c r="B141" s="34" t="str">
        <x:v>M4</x:v>
      </x:c>
      <x:c r="C141" s="34" t="str">
        <x:v>Q038</x:v>
      </x:c>
      <x:c r="D141" s="34" t="str">
        <x:v>1</x:v>
      </x:c>
      <x:c r="E141" s="34" t="str">
        <x:v>D1+D2</x:v>
      </x:c>
      <x:c r="F141" s="34" t="str">
        <x:v>RAG Paper and llama.cpp README</x:v>
      </x:c>
      <x:c r="G141" s="34" t="str">
        <x:v>comparison</x:v>
      </x:c>
      <x:c r="H141" s="34" t="str">
        <x:v>hard</x:v>
      </x:c>
      <x:c r="I141" s="34" t="str">
        <x:v>multiple_documents</x:v>
      </x:c>
      <x:c r="J141" s="34" t="str">
        <x:v>How do RAG and local deployment address different parts of the question-answering problem?</x:v>
      </x:c>
      <x:c r="K141" s="34" t="str">
        <x:v>A good answer should say that RAG addresses knowledge grounding by retrieving and using source passages, while local deployment addresses where inference runs and what hardware/runtime is used. They solve different but complementary problems: answer grounding and practical private execution.</x:v>
      </x:c>
      <x:c r="L141" s="34" t="str">
        <x:v>D1 abstract/Methods; D2 README Description/llama-server</x:v>
      </x:c>
      <x:c r="M141" s="34" t="str">
        <x:v>RAG addresses the question-answering problem by generating correct answers even when the correct answer is not present in any retrieved document, achieving 11.8% accuracy in such cases for NQ. It also outperforms extractive models in abstractive question answering tasks, such as Open MS-MARCO NLG, where it outperforms BART by 2.6 BLEU points and 2.6 ROUGE-L points. RAG models are trained using dev data with different values of k for training and test time, and experimental details for each task are discussed.</x:v>
      </x:c>
      <x:c r="N141" s="42" t="n">
        <x:v>1</x:v>
      </x:c>
      <x:c r="O141" s="42" t="n">
        <x:v>2</x:v>
      </x:c>
      <x:c r="P141" s="42" t="n">
        <x:v>3</x:v>
      </x:c>
      <x:c r="Q141" s="42" t="n">
        <x:v>1</x:v>
      </x:c>
      <x:c r="R141" s="42" t="n">
        <x:v>3</x:v>
      </x:c>
      <x:c r="S141" s="42" t="n">
        <x:v>3</x:v>
      </x:c>
      <x:c r="T141" s="50" t="n">
        <x:f>IF(COUNT(N141:S141)=6,AVERAGE(N141:S141),"")</x:f>
        <x:v>2.1666666666666665</x:v>
      </x:c>
      <x:c r="U141" s="34" t="str">
        <x:v>AI draft note: Only reports RAG benchmark performance and never addresses local deployment, inference location, hardware, privacy, or complementary roles.</x:v>
      </x:c>
      <x:c r="V141" s="52" t="str">
        <x:v>AI draft (Codex/GPT); human review required</x:v>
      </x:c>
      <x:c r="W141" s="54" t="str">
        <x:v>2026-06-29</x:v>
      </x:c>
      <x:c r="X141" s="58" t="str">
        <x:v>AI draft - needs human review</x:v>
      </x:c>
    </x:row>
    <x:row r="142" ht="84" customHeight="1">
      <x:c r="A142" s="34" t="str">
        <x:v>T2-Q024-R1</x:v>
      </x:c>
      <x:c r="B142" s="34" t="str">
        <x:v>T2</x:v>
      </x:c>
      <x:c r="C142" s="34" t="str">
        <x:v>Q024</x:v>
      </x:c>
      <x:c r="D142" s="34" t="str">
        <x:v>1</x:v>
      </x:c>
      <x:c r="E142" s="34" t="str">
        <x:v>D3</x:v>
      </x:c>
      <x:c r="F142" s="34" t="str">
        <x:v>NIST AI RMF</x:v>
      </x:c>
      <x:c r="G142" s="34" t="str">
        <x:v>source_grounded_synthesis</x:v>
      </x:c>
      <x:c r="H142" s="34" t="str">
        <x:v>hard</x:v>
      </x:c>
      <x:c r="I142" s="34" t="str">
        <x:v>one_document</x:v>
      </x:c>
      <x:c r="J142" s="34" t="str">
        <x:v>How can an AI risk framework support evaluation beyond accuracy alone?</x:v>
      </x:c>
      <x:c r="K142" s="34" t="str">
        <x:v>A good answer should explain that the framework encourages evaluation of reliability, safety, security, transparency, explainability, privacy, fairness, and context of use. In this dissertation, that supports measuring system metrics and discussing privacy, not only answer correctness.</x:v>
      </x:c>
      <x:c r="L142" s="34" t="str">
        <x:v>D3 AI RMF section 3; D3 Core functions section</x:v>
      </x:c>
      <x:c r="M142" s="34" t="str">
        <x:v>The AI Risk Framework (AI RMF) should not only focus on accuracy but also consider other aspects of risk assessment, such as:
- **Meaningfulness**: How well does the measurement provide unique and meaningful information about AI risks? This includes considering the context, data quality, and the relevance of the information to the organization's goals and objectives.
- **Integrity**: Ensuring that the framework is free from bias, and that all data and measurements are accurate and reliable.
- **Effectiveness**: How well does the framework help to identify and track existing and emergent risks, and verify the efficacy of the metrics used to measure AI risks?
- **Transparency**: Providing a clear and understandable framework that is accessible to a wide range of perspectives, sectors, and technology domains.
- **Flexibility**: Being adaptable and intuitive, allowing Framework users to comprehensively evaluate system trustworthiness and identify risks in a way that is consistent with other approaches to managing AI risks.
- **Outcome-focused**: Providing a catalog of outcomes and approaches rather than prescriptive guidelines, allowing Framework users to focus on the specific goals and objectives of their organization.
- **Context-specific**: Being context-specific and applicable to any AI technology and to specific use cases, ensuring that the framework is universally applicable.
- **Outcome-oriented**: Increasing transparency and accountability by providing a clear understanding of the risks and the effectiveness of the framework in managing AI risks.
By considering these aspects, the AI RMF can support a more comprehensive evaluation of AI risks, moving beyond accuracy alone to provide a more complete picture of risk management effectiveness.</x:v>
      </x:c>
      <x:c r="N142" s="42" t="n">
        <x:v>4</x:v>
      </x:c>
      <x:c r="O142" s="42" t="n">
        <x:v>3</x:v>
      </x:c>
      <x:c r="P142" s="42" t="n">
        <x:v>3</x:v>
      </x:c>
      <x:c r="Q142" s="42" t="n">
        <x:v>3</x:v>
      </x:c>
      <x:c r="R142" s="42" t="n">
        <x:v>4</x:v>
      </x:c>
      <x:c r="S142" s="42" t="n">
        <x:v>3</x:v>
      </x:c>
      <x:c r="T142" s="50" t="n">
        <x:f>IF(COUNT(N142:S142)=6,AVERAGE(N142:S142),"")</x:f>
        <x:v>3.3333333333333335</x:v>
      </x:c>
      <x:c r="U142" s="34" t="str">
        <x:v>AI draft note: Covers meaningfulness, reliability, effectiveness, transparency, and context, but omits safety, security, explainability, privacy, and full fairness framing.</x:v>
      </x:c>
      <x:c r="V142" s="52" t="str">
        <x:v>AI draft (Codex/GPT); human review required</x:v>
      </x:c>
      <x:c r="W142" s="54" t="str">
        <x:v>2026-06-29</x:v>
      </x:c>
      <x:c r="X142" s="58" t="str">
        <x:v>AI draft - needs human review</x:v>
      </x:c>
    </x:row>
    <x:row r="143" ht="84" customHeight="1">
      <x:c r="A143" s="34" t="str">
        <x:v>T2-Q025-R1</x:v>
      </x:c>
      <x:c r="B143" s="34" t="str">
        <x:v>T2</x:v>
      </x:c>
      <x:c r="C143" s="34" t="str">
        <x:v>Q025</x:v>
      </x:c>
      <x:c r="D143" s="34" t="str">
        <x:v>1</x:v>
      </x:c>
      <x:c r="E143" s="34" t="str">
        <x:v>D3</x:v>
      </x:c>
      <x:c r="F143" s="34" t="str">
        <x:v>NIST AI RMF</x:v>
      </x:c>
      <x:c r="G143" s="34" t="str">
        <x:v>comparison</x:v>
      </x:c>
      <x:c r="H143" s="34" t="str">
        <x:v>medium</x:v>
      </x:c>
      <x:c r="I143" s="34" t="str">
        <x:v>one_document</x:v>
      </x:c>
      <x:c r="J143" s="34" t="str">
        <x:v>Why should risks to individuals organisations and society be considered separately?</x:v>
      </x:c>
      <x:c r="K143" s="34" t="str">
        <x:v>A good answer should explain that AI impacts can occur at different levels: individual harms, organisational failures, and wider societal effects. Treating them separately helps avoid reducing risk to only model accuracy or technical performance.</x:v>
      </x:c>
      <x:c r="L143" s="34" t="str">
        <x:v>D3 AI RMF web overview; D3 Executive Summary; D3 Framing Risk</x:v>
      </x:c>
      <x:c r="M143" s="34" t="str">
        <x:v>Risks to individuals, organizations, and society should be considered separately for several reasons:
1. **Contextual differences**: Each entity has unique needs, priorities, and circumstances that affect their risk tolerance. For instance, an organization with a strong focus on customer service may have a different risk tolerance than a government agency dealing with sensitive information.
2. **Risk characteristics**: AI risks are distinct from other risks, such as financial or operational risks. AI risks require special consideration due to their unique characteristics, like security and privacy concerns.
3. **Emerging knowledge and risks**: The rapid development of AI technology and its potential impact on various aspects of life necessitates a proactive approach to risk management. Considering AI risks as part of broader enterprise risk management (ERM) considerations helps organizations stay ahead of emerging threats.
4. **Policy and regulatory implications**: AI risks may be influenced by policies and norms established by AI system owners, organizations, industries, communities, or policy makers. Different organizations may have varying risk tolerances due to their unique circumstances, which can impact how they approach AI risk management.
5. **Risk management strategies**: Organizations may need to adapt their risk management strategies to address AI risks, which may not be applicable to other types of risks. For example, an organization may need to develop additional controls or procedures to mitigate AI-related risks.
6. **Data-driven decision-making**: As AI technology advances, the amount of data generated and the complexity of AI models increase. This requires organizations to have robust data management and analytics capabilities to effectively assess and manage AI risks.
7. **Ethical considerations**: AI risks raise important ethical considerations, such as data privacy, security, and fairness. Organizations must consider these factors when developing and implementing AI risk management strategies.
In summary, considering risks to individuals, organizations, and society separately allows for tailored risk management approaches, taking into account the unique characteristics, needs, and circumstances of each entity. This helps organizations develop effective strategies to mitigate AI risks and ensure responsible AI development and deployment.</x:v>
      </x:c>
      <x:c r="N143" s="42" t="n">
        <x:v>4</x:v>
      </x:c>
      <x:c r="O143" s="42" t="n">
        <x:v>3</x:v>
      </x:c>
      <x:c r="P143" s="42" t="n">
        <x:v>3</x:v>
      </x:c>
      <x:c r="Q143" s="42" t="n">
        <x:v>3</x:v>
      </x:c>
      <x:c r="R143" s="42" t="n">
        <x:v>4</x:v>
      </x:c>
      <x:c r="S143" s="42" t="n">
        <x:v>3</x:v>
      </x:c>
      <x:c r="T143" s="50" t="n">
        <x:f>IF(COUNT(N143:S143)=6,AVERAGE(N143:S143),"")</x:f>
        <x:v>3.3333333333333335</x:v>
      </x:c>
      <x:c r="U143" s="34" t="str">
        <x:v>AI draft note: Explains contextual differences and distinct risks but does not clearly distinguish individual harm, organisational failure, and societal effects.</x:v>
      </x:c>
      <x:c r="V143" s="52" t="str">
        <x:v>AI draft (Codex/GPT); human review required</x:v>
      </x:c>
      <x:c r="W143" s="54" t="str">
        <x:v>2026-06-29</x:v>
      </x:c>
      <x:c r="X143" s="58" t="str">
        <x:v>AI draft - needs human review</x:v>
      </x:c>
    </x:row>
    <x:row r="144" ht="84" customHeight="1">
      <x:c r="A144" s="34" t="str">
        <x:v>R9-Q003-R1</x:v>
      </x:c>
      <x:c r="B144" s="34" t="str">
        <x:v>R9</x:v>
      </x:c>
      <x:c r="C144" s="34" t="str">
        <x:v>Q003</x:v>
      </x:c>
      <x:c r="D144" s="34" t="str">
        <x:v>1</x:v>
      </x:c>
      <x:c r="E144" s="34" t="str">
        <x:v>D1</x:v>
      </x:c>
      <x:c r="F144" s="34" t="str">
        <x:v>RAG Paper</x:v>
      </x:c>
      <x:c r="G144" s="34" t="str">
        <x:v>explanation</x:v>
      </x:c>
      <x:c r="H144" s="34" t="str">
        <x:v>medium</x:v>
      </x:c>
      <x:c r="I144" s="34" t="str">
        <x:v>one_document</x:v>
      </x:c>
      <x:c r="J144" s="34" t="str">
        <x:v>Why is provenance important in a question-answering system?</x:v>
      </x:c>
      <x:c r="K144" s="34" t="str">
        <x:v>A good answer should connect provenance to knowing where an answer came from. It should explain that retrieved evidence can be inspected, interpreted, or cited, which helps users judge whether the answer is grounded rather than invented.</x:v>
      </x:c>
      <x:c r="L144" s="34" t="str">
        <x:v>D1 abstract; D1 Introduction</x:v>
      </x:c>
      <x:c r="M144" s="34" t="str">
        <x:v>The context provided discusses the performance of a question-answering system, specifically mentioning the NQ task. It also mentions the use of MS-MARCO Bleu-1 and Rouge-L metrics to evaluate performance. The context also references previous work in NLP tasks such as open-domain question answering, fact checking, fact completion, long-form question answering, Wikipedia article generation, dialogue, translation, and language modeling. The work presented unifies factuality and specificity as two different types of evaluation criteria. It uses pairwise comparative evaluation and follows best practice by using BART and RAG as the two generated questions. The context also mentions fact verication as an important aspect of a question-answering system.</x:v>
      </x:c>
      <x:c r="N144" s="42" t="n">
        <x:v>1</x:v>
      </x:c>
      <x:c r="O144" s="42" t="n">
        <x:v>1</x:v>
      </x:c>
      <x:c r="P144" s="42" t="n">
        <x:v>1</x:v>
      </x:c>
      <x:c r="Q144" s="42" t="n">
        <x:v>1</x:v>
      </x:c>
      <x:c r="R144" s="42" t="n">
        <x:v>2</x:v>
      </x:c>
      <x:c r="S144" s="42" t="n">
        <x:v>1</x:v>
      </x:c>
      <x:c r="T144" s="50" t="n">
        <x:f>IF(COUNT(N144:S144)=6,AVERAGE(N144:S144),"")</x:f>
        <x:v>1.1666666666666667</x:v>
      </x:c>
      <x:c r="U144" s="34" t="str">
        <x:v>AI draft note: Discusses unrelated QA evaluation and factuality instead of answer origin, inspectable evidence, citation, and judging groundedness.</x:v>
      </x:c>
      <x:c r="V144" s="52" t="str">
        <x:v>AI draft (Codex/GPT); human review required</x:v>
      </x:c>
      <x:c r="W144" s="54" t="str">
        <x:v>2026-06-29</x:v>
      </x:c>
      <x:c r="X144" s="58" t="str">
        <x:v>AI draft - needs human review</x:v>
      </x:c>
    </x:row>
    <x:row r="145" ht="84" customHeight="1">
      <x:c r="A145" s="34" t="str">
        <x:v>F3-Q023-R1</x:v>
      </x:c>
      <x:c r="B145" s="34" t="str">
        <x:v>F3</x:v>
      </x:c>
      <x:c r="C145" s="34" t="str">
        <x:v>Q023</x:v>
      </x:c>
      <x:c r="D145" s="34" t="str">
        <x:v>1</x:v>
      </x:c>
      <x:c r="E145" s="34" t="str">
        <x:v>D3</x:v>
      </x:c>
      <x:c r="F145" s="34" t="str">
        <x:v>NIST AI RMF</x:v>
      </x:c>
      <x:c r="G145" s="34" t="str">
        <x:v>explanation</x:v>
      </x:c>
      <x:c r="H145" s="34" t="str">
        <x:v>medium</x:v>
      </x:c>
      <x:c r="I145" s="34" t="str">
        <x:v>one_document</x:v>
      </x:c>
      <x:c r="J145" s="34" t="str">
        <x:v>What does it mean to consider trustworthiness in AI design and evaluation?</x:v>
      </x:c>
      <x:c r="K145" s="34" t="str">
        <x:v>A good answer should mention that trustworthiness includes more than accuracy: valid and reliable, safe, secure and resilient, accountable and transparent, explainable and interpretable, privacy-enhanced, and fair with harmful bias managed.</x:v>
      </x:c>
      <x:c r="L145" s="34" t="str">
        <x:v>D3 AI RMF section 3; D3 Figure 4 discussion</x:v>
      </x:c>
      <x:c r="M145" s="34" t="str">
        <x:v>To consider trustworthiness in AI design and evaluation, it is essential to understand and treat the specific metrics related to AI trustworthiness characteristics and the precise threshold values for those metrics. This involves addressing AI trustworthiness individually, recognizing that tradeoffs are often involved, and determining that some characteristics may be more or less important in any given situation. Ultimately, trustworthiness is a social concept that ranges across a spectrum and is only as strong as its weakest.</x:v>
      </x:c>
      <x:c r="N145" s="42" t="n">
        <x:v>4</x:v>
      </x:c>
      <x:c r="O145" s="42" t="n">
        <x:v>3</x:v>
      </x:c>
      <x:c r="P145" s="42" t="n">
        <x:v>4</x:v>
      </x:c>
      <x:c r="Q145" s="42" t="n">
        <x:v>2</x:v>
      </x:c>
      <x:c r="R145" s="42" t="n">
        <x:v>5</x:v>
      </x:c>
      <x:c r="S145" s="42" t="n">
        <x:v>4</x:v>
      </x:c>
      <x:c r="T145" s="50" t="n">
        <x:f>IF(COUNT(N145:S145)=6,AVERAGE(N145:S145),"")</x:f>
        <x:v>3.6666666666666665</x:v>
      </x:c>
      <x:c r="U145" s="34" t="str">
        <x:v>AI draft note: Correctly discusses metrics, thresholds, trade-offs, and weakest-link trustworthiness, but omits nearly all named trustworthiness characteristics.</x:v>
      </x:c>
      <x:c r="V145" s="52" t="str">
        <x:v>AI draft (Codex/GPT); human review required</x:v>
      </x:c>
      <x:c r="W145" s="54" t="str">
        <x:v>2026-06-29</x:v>
      </x:c>
      <x:c r="X145" s="58" t="str">
        <x:v>AI draft - needs human review</x:v>
      </x:c>
    </x:row>
    <x:row r="146" ht="84" customHeight="1">
      <x:c r="A146" s="34" t="str">
        <x:v>M4-Q011-R1</x:v>
      </x:c>
      <x:c r="B146" s="34" t="str">
        <x:v>M4</x:v>
      </x:c>
      <x:c r="C146" s="34" t="str">
        <x:v>Q011</x:v>
      </x:c>
      <x:c r="D146" s="34" t="str">
        <x:v>1</x:v>
      </x:c>
      <x:c r="E146" s="34" t="str">
        <x:v>D2</x:v>
      </x:c>
      <x:c r="F146" s="34" t="str">
        <x:v>llama.cpp README</x:v>
      </x:c>
      <x:c r="G146" s="34" t="str">
        <x:v>fact_retrieval</x:v>
      </x:c>
      <x:c r="H146" s="34" t="str">
        <x:v>easy</x:v>
      </x:c>
      <x:c r="I146" s="34" t="str">
        <x:v>one_document</x:v>
      </x:c>
      <x:c r="J146" s="34" t="str">
        <x:v>What is the main purpose of llama.cpp?</x:v>
      </x:c>
      <x:c r="K146" s="34" t="str">
        <x:v>A good answer should state that llama.cpp enables LLM inference in C/C++ with minimal setup and strong performance across local and cloud hardware.</x:v>
      </x:c>
      <x:c r="L146" s="34" t="str">
        <x:v>D2 README title; D2 Description section</x:v>
      </x:c>
      <x:c r="M146" s="34" t="str">
        <x:v>The main purpose of llama.cpp is to enable Large Language Model (LLM) inference with minimal setup and achieve state-of-the-art performance across a broad spectrum of tasks.</x:v>
      </x:c>
      <x:c r="N146" s="42" t="n">
        <x:v>5</x:v>
      </x:c>
      <x:c r="O146" s="42" t="n">
        <x:v>4</x:v>
      </x:c>
      <x:c r="P146" s="42" t="n">
        <x:v>4</x:v>
      </x:c>
      <x:c r="Q146" s="42" t="n">
        <x:v>3</x:v>
      </x:c>
      <x:c r="R146" s="42" t="n">
        <x:v>5</x:v>
      </x:c>
      <x:c r="S146" s="42" t="n">
        <x:v>4</x:v>
      </x:c>
      <x:c r="T146" s="50" t="n">
        <x:f>IF(COUNT(N146:S146)=6,AVERAGE(N146:S146),"")</x:f>
        <x:v>4.166666666666667</x:v>
      </x:c>
      <x:c r="U146" s="34" t="str">
        <x:v>AI draft note: Accurate minimal-setup, high-performance inference purpose, but omits C/C++ and hardware scope.</x:v>
      </x:c>
      <x:c r="V146" s="52" t="str">
        <x:v>AI draft (Codex/GPT); human review required</x:v>
      </x:c>
      <x:c r="W146" s="54" t="str">
        <x:v>2026-06-29</x:v>
      </x:c>
      <x:c r="X146" s="58" t="str">
        <x:v>AI draft - needs human review</x:v>
      </x:c>
    </x:row>
    <x:row r="147" ht="84" customHeight="1">
      <x:c r="A147" s="34" t="str">
        <x:v>T2-Q015-R1</x:v>
      </x:c>
      <x:c r="B147" s="34" t="str">
        <x:v>T2</x:v>
      </x:c>
      <x:c r="C147" s="34" t="str">
        <x:v>Q015</x:v>
      </x:c>
      <x:c r="D147" s="34" t="str">
        <x:v>1</x:v>
      </x:c>
      <x:c r="E147" s="34" t="str">
        <x:v>D2</x:v>
      </x:c>
      <x:c r="F147" s="34" t="str">
        <x:v>llama.cpp README</x:v>
      </x:c>
      <x:c r="G147" s="34" t="str">
        <x:v>fact_retrieval</x:v>
      </x:c>
      <x:c r="H147" s="34" t="str">
        <x:v>easy</x:v>
      </x:c>
      <x:c r="I147" s="34" t="str">
        <x:v>one_document</x:v>
      </x:c>
      <x:c r="J147" s="34" t="str">
        <x:v>What is the purpose of running llama-server rather than only a command-line model?</x:v>
      </x:c>
      <x:c r="K147" s="34" t="str">
        <x:v>A good answer should say that llama-server starts a local HTTP server for serving the model, including a web UI and chat completion endpoint, so other applications such as a backend can call it over HTTP.</x:v>
      </x:c>
      <x:c r="L147" s="34" t="str">
        <x:v>D2 README llama-server section</x:v>
      </x:c>
      <x:c r="M147" s="34" t="str">
        <x:v>The purpose of running `llama-server` rather than only a command-line model is to provide a lightweight, OpenAI API-compatible HTTP server for serving Large Language Models (LLMs). This server allows users to access and interact with the model over the web, enabling features such as:
1. **Basic web UI**: The server provides a basic web interface that allows users to access the model's chat completion endpoint.
2. **Chat completion endpoint**: Users can interact with the model by sending messages, which are then processed and responded to.
3. **Multiple users and parallel decoding**: The server can handle multiple users simultaneously, and each user can have up to 4 concurrent requests, with a maximum context size of 4096.
By running `llama-server`, users can access and interact with their LLM models over the web, making it easier to use and experiment with these models. This approach also enables features like chat completion, which can be useful for tasks such as text summarization, question answering, and more.
In contrast, running a command-line model only provides a simple way to use the model, but it does not offer the same level of web-based interaction and features as the `llama-server` approach.</x:v>
      </x:c>
      <x:c r="N147" s="42" t="n">
        <x:v>5</x:v>
      </x:c>
      <x:c r="O147" s="42" t="n">
        <x:v>5</x:v>
      </x:c>
      <x:c r="P147" s="42" t="n">
        <x:v>5</x:v>
      </x:c>
      <x:c r="Q147" s="42" t="n">
        <x:v>5</x:v>
      </x:c>
      <x:c r="R147" s="42" t="n">
        <x:v>4</x:v>
      </x:c>
      <x:c r="S147" s="42" t="n">
        <x:v>5</x:v>
      </x:c>
      <x:c r="T147" s="50" t="n">
        <x:f>IF(COUNT(N147:S147)=6,AVERAGE(N147:S147),"")</x:f>
        <x:v>4.833333333333333</x:v>
      </x:c>
      <x:c r="U147" s="34" t="str">
        <x:v>AI draft note: Directly explains HTTP serving, OpenAI-compatible API, web UI, chat endpoint, and multi-user application access; concurrency specifics may be version-dependent.</x:v>
      </x:c>
      <x:c r="V147" s="52" t="str">
        <x:v>AI draft (Codex/GPT); human review required</x:v>
      </x:c>
      <x:c r="W147" s="54" t="str">
        <x:v>2026-06-29</x:v>
      </x:c>
      <x:c r="X147" s="58" t="str">
        <x:v>AI draft - needs human review</x:v>
      </x:c>
    </x:row>
    <x:row r="148" ht="84" customHeight="1">
      <x:c r="A148" s="34" t="str">
        <x:v>A7-Q018-R1</x:v>
      </x:c>
      <x:c r="B148" s="34" t="str">
        <x:v>A7</x:v>
      </x:c>
      <x:c r="C148" s="34" t="str">
        <x:v>Q018</x:v>
      </x:c>
      <x:c r="D148" s="34" t="str">
        <x:v>1</x:v>
      </x:c>
      <x:c r="E148" s="34" t="str">
        <x:v>D2</x:v>
      </x:c>
      <x:c r="F148" s="34" t="str">
        <x:v>llama.cpp README</x:v>
      </x:c>
      <x:c r="G148" s="34" t="str">
        <x:v>explanation</x:v>
      </x:c>
      <x:c r="H148" s="34" t="str">
        <x:v>medium</x:v>
      </x:c>
      <x:c r="I148" s="34" t="str">
        <x:v>one_document</x:v>
      </x:c>
      <x:c r="J148" s="34" t="str">
        <x:v>What does local inference change about where model computation happens?</x:v>
      </x:c>
      <x:c r="K148" s="34" t="str">
        <x:v>A good answer should say that computation can happen on the user's own machine rather than a remote cloud provider, depending on setup. The answer should avoid overstating privacy because local computation still leaves local storage, logs, and device-security issues.</x:v>
      </x:c>
      <x:c r="L148" s="34" t="str">
        <x:v>D2 README Description; D4 ICO security/data minimisation for limitation context</x:v>
      </x:c>
      <x:c r="M148" s="34" t="str">
        <x:v>Local inference means that an ML model is installed and runs on the device where the query is generated, rather than being hosted on a cloud server. This shifts the computation of the model to the device itself, making it closer to the data source.</x:v>
      </x:c>
      <x:c r="N148" s="42" t="n">
        <x:v>5</x:v>
      </x:c>
      <x:c r="O148" s="42" t="n">
        <x:v>5</x:v>
      </x:c>
      <x:c r="P148" s="42" t="n">
        <x:v>5</x:v>
      </x:c>
      <x:c r="Q148" s="42" t="n">
        <x:v>3</x:v>
      </x:c>
      <x:c r="R148" s="42" t="n">
        <x:v>5</x:v>
      </x:c>
      <x:c r="S148" s="42" t="n">
        <x:v>4</x:v>
      </x:c>
      <x:c r="T148" s="50" t="n">
        <x:f>IF(COUNT(N148:S148)=6,AVERAGE(N148:S148),"")</x:f>
        <x:v>4.5</x:v>
      </x:c>
      <x:c r="U148" s="34" t="str">
        <x:v>AI draft note: Precisely explains that computation moves from cloud to the originating device, but omits remaining storage, logging, and device-security risks.</x:v>
      </x:c>
      <x:c r="V148" s="52" t="str">
        <x:v>AI draft (Codex/GPT); human review required</x:v>
      </x:c>
      <x:c r="W148" s="54" t="str">
        <x:v>2026-06-29</x:v>
      </x:c>
      <x:c r="X148" s="58" t="str">
        <x:v>AI draft - needs human review</x:v>
      </x:c>
    </x:row>
    <x:row r="149" ht="84" customHeight="1">
      <x:c r="A149" s="34" t="str">
        <x:v>F3-Q012-R1</x:v>
      </x:c>
      <x:c r="B149" s="34" t="str">
        <x:v>F3</x:v>
      </x:c>
      <x:c r="C149" s="34" t="str">
        <x:v>Q012</x:v>
      </x:c>
      <x:c r="D149" s="34" t="str">
        <x:v>1</x:v>
      </x:c>
      <x:c r="E149" s="34" t="str">
        <x:v>D2</x:v>
      </x:c>
      <x:c r="F149" s="34" t="str">
        <x:v>llama.cpp README</x:v>
      </x:c>
      <x:c r="G149" s="34" t="str">
        <x:v>explanation</x:v>
      </x:c>
      <x:c r="H149" s="34" t="str">
        <x:v>medium</x:v>
      </x:c>
      <x:c r="I149" s="34" t="str">
        <x:v>one_document</x:v>
      </x:c>
      <x:c r="J149" s="34" t="str">
        <x:v>Why is llama.cpp relevant for local or on-device language model deployment?</x:v>
      </x:c>
      <x:c r="K149" s="34" t="str">
        <x:v>A good answer should explain that llama.cpp runs models locally, supports many CPU/GPU backends, works with quantised GGUF models, and exposes tools such as llama-cli and llama-server. This makes it practical for a laptop-based local benchmark.</x:v>
      </x:c>
      <x:c r="L149" s="34" t="str">
        <x:v>D2 README Quick start; D2 Description; D2 hardware/backend bullets</x:v>
      </x:c>
      <x:c r="M149" s="34" t="str">
        <x:v>Llama.cpp is relevant for local or on-device language model deployment because it enables minimal setup and state-of-the-art performance on a wide range of models. The main goal of llama.cpp is to facilitate LLM inference with minimal setup and high performance on a wide variety of models, making it a valuable tool for local or on-device language model deployment.</x:v>
      </x:c>
      <x:c r="N149" s="42" t="n">
        <x:v>4</x:v>
      </x:c>
      <x:c r="O149" s="42" t="n">
        <x:v>4</x:v>
      </x:c>
      <x:c r="P149" s="42" t="n">
        <x:v>4</x:v>
      </x:c>
      <x:c r="Q149" s="42" t="n">
        <x:v>2</x:v>
      </x:c>
      <x:c r="R149" s="42" t="n">
        <x:v>5</x:v>
      </x:c>
      <x:c r="S149" s="42" t="n">
        <x:v>4</x:v>
      </x:c>
      <x:c r="T149" s="50" t="n">
        <x:f>IF(COUNT(N149:S149)=6,AVERAGE(N149:S149),"")</x:f>
        <x:v>3.8333333333333335</x:v>
      </x:c>
      <x:c r="U149" s="34" t="str">
        <x:v>AI draft note: Correctly states minimal-setup local inference, but omits CPU/GPU backends, quantised GGUF, llama-cli, and llama-server.</x:v>
      </x:c>
      <x:c r="V149" s="52" t="str">
        <x:v>AI draft (Codex/GPT); human review required</x:v>
      </x:c>
      <x:c r="W149" s="54" t="str">
        <x:v>2026-06-29</x:v>
      </x:c>
      <x:c r="X149" s="58" t="str">
        <x:v>AI draft - needs human review</x:v>
      </x:c>
    </x:row>
    <x:row r="150" ht="84" customHeight="1">
      <x:c r="A150" s="34" t="str">
        <x:v>F3-Q034-R1</x:v>
      </x:c>
      <x:c r="B150" s="34" t="str">
        <x:v>F3</x:v>
      </x:c>
      <x:c r="C150" s="34" t="str">
        <x:v>Q034</x:v>
      </x:c>
      <x:c r="D150" s="34" t="str">
        <x:v>1</x:v>
      </x:c>
      <x:c r="E150" s="34" t="str">
        <x:v>D4</x:v>
      </x:c>
      <x:c r="F150" s="34" t="str">
        <x:v>ICO AI Data Protection Guidance</x:v>
      </x:c>
      <x:c r="G150" s="34" t="str">
        <x:v>explanation</x:v>
      </x:c>
      <x:c r="H150" s="34" t="str">
        <x:v>medium</x:v>
      </x:c>
      <x:c r="I150" s="34" t="str">
        <x:v>one_document</x:v>
      </x:c>
      <x:c r="J150" s="34" t="str">
        <x:v>How do security and data minimisation relate to AI deployment?</x:v>
      </x:c>
      <x:c r="K150" s="34" t="str">
        <x:v>A good answer should state that AI systems can worsen security risks and make data minimisation harder. Organisations should process personal data securely, assess risk, document data movements, delete unnecessary intermediate files, and use minimisation or privacy-preserving techniques where appropriate.</x:v>
      </x:c>
      <x:c r="L150" s="34" t="str">
        <x:v>D4 ICO security and data minimisation chapter</x:v>
      </x:c>
      <x:c r="M150" s="34" t="str">
        <x:v>Security and data minimisation are closely related to AI deployment. In AI systems, security measures are crucial to ensure that sensitive data is protected and that privacy is maintained. Data minimisation is a key principle in AI development and deployment, as it involves minimizing the amount of data that is collected and used. By minimizing data collection, AI systems can reduce the risk of data breaches and privacy violations. Additionally, data minimisation ensures that the data used in AI systems is only for the purpose of the intended use, thereby protecting the integrity and confidentiality of the data. In summary, security and data minimisation are essential components of AI deployment, as they help to ensure that sensitive data is protected and that privacy is maintained.</x:v>
      </x:c>
      <x:c r="N150" s="42" t="n">
        <x:v>4</x:v>
      </x:c>
      <x:c r="O150" s="42" t="n">
        <x:v>4</x:v>
      </x:c>
      <x:c r="P150" s="42" t="n">
        <x:v>4</x:v>
      </x:c>
      <x:c r="Q150" s="42" t="n">
        <x:v>3</x:v>
      </x:c>
      <x:c r="R150" s="42" t="n">
        <x:v>5</x:v>
      </x:c>
      <x:c r="S150" s="42" t="n">
        <x:v>4</x:v>
      </x:c>
      <x:c r="T150" s="50" t="n">
        <x:f>IF(COUNT(N150:S150)=6,AVERAGE(N150:S150),"")</x:f>
        <x:v>4</x:v>
      </x:c>
      <x:c r="U150" s="34" t="str">
        <x:v>AI draft note: Correctly relates secure processing and minimisation to lower breach risk, but omits AI-specific worsened risks, risk assessment, data movements, and intermediate files.</x:v>
      </x:c>
      <x:c r="V150" s="52" t="str">
        <x:v>AI draft (Codex/GPT); human review required</x:v>
      </x:c>
      <x:c r="W150" s="54" t="str">
        <x:v>2026-06-29</x:v>
      </x:c>
      <x:c r="X150" s="58" t="str">
        <x:v>AI draft - needs human review</x:v>
      </x:c>
    </x:row>
    <x:row r="151" ht="84" customHeight="1">
      <x:c r="A151" s="34" t="str">
        <x:v>A7-Q006-R1</x:v>
      </x:c>
      <x:c r="B151" s="34" t="str">
        <x:v>A7</x:v>
      </x:c>
      <x:c r="C151" s="34" t="str">
        <x:v>Q006</x:v>
      </x:c>
      <x:c r="D151" s="34" t="str">
        <x:v>1</x:v>
      </x:c>
      <x:c r="E151" s="34" t="str">
        <x:v>D1</x:v>
      </x:c>
      <x:c r="F151" s="34" t="str">
        <x:v>RAG Paper</x:v>
      </x:c>
      <x:c r="G151" s="34" t="str">
        <x:v>comparison</x:v>
      </x:c>
      <x:c r="H151" s="34" t="str">
        <x:v>medium</x:v>
      </x:c>
      <x:c r="I151" s="34" t="str">
        <x:v>one_document</x:v>
      </x:c>
      <x:c r="J151" s="34" t="str">
        <x:v>What is the difference between generating from model parameters alone and generating with retrieved passages?</x:v>
      </x:c>
      <x:c r="K151" s="34" t="str">
        <x:v>A good answer should contrast closed-book generation with retrieval-augmented generation. Parametric-only generation relies on internal model weights, while RAG adds retrieved passages as evidence and context, allowing more specific and factual answers when retrieval succeeds.</x:v>
      </x:c>
      <x:c r="L151" s="34" t="str">
        <x:v>D1 Introduction; D1 Open-domain QA section; D1 Results sections 4.1-4.3</x:v>
      </x:c>
      <x:c r="M151" s="34" t="str">
        <x:v>Okay, here’s a rephrased answer based on the provided context, incorporating key details and expanding slightly:
“The context describes a novel approach called Retrieval-Augmented Generation (RAG).  Instead of relying solely on the model’s internal parameters, RAG models use a separate component – a retriever – to find relevant text documents. This retriever, like the Dense Passage Retriever (DPR), retrieves text passages based on a user’s query.  The generator then uses these retrieved passages as context when creating the output sequence.  Essentially, the retriever provides a ‘latent variable’ representing the retrieved documents, which is then used to generate the output sequence.  The key difference is that the retriever provides a *different* latent representation of the retrieved documents, allowing the generator to leverage a broader range of information than just the original query.”
**In short, RAG models generate text by combining the model’s internal knowledge with retrieved context from a separate, specialized retriever.**</x:v>
      </x:c>
      <x:c r="N151" s="42" t="n">
        <x:v>5</x:v>
      </x:c>
      <x:c r="O151" s="42" t="n">
        <x:v>5</x:v>
      </x:c>
      <x:c r="P151" s="42" t="n">
        <x:v>5</x:v>
      </x:c>
      <x:c r="Q151" s="42" t="n">
        <x:v>5</x:v>
      </x:c>
      <x:c r="R151" s="42" t="n">
        <x:v>5</x:v>
      </x:c>
      <x:c r="S151" s="42" t="n">
        <x:v>5</x:v>
      </x:c>
      <x:c r="T151" s="50" t="n">
        <x:f>IF(COUNT(N151:S151)=6,AVERAGE(N151:S151),"")</x:f>
        <x:v>5</x:v>
      </x:c>
      <x:c r="U151" s="34" t="str">
        <x:v>AI draft note: Clear and complete contrast between internal parameters and retrieved evidence used as generator context, including query-specific retrieval.</x:v>
      </x:c>
      <x:c r="V151" s="52" t="str">
        <x:v>AI draft (Codex/GPT); human review required</x:v>
      </x:c>
      <x:c r="W151" s="54" t="str">
        <x:v>2026-06-29</x:v>
      </x:c>
      <x:c r="X151" s="58" t="str">
        <x:v>AI draft - needs human review</x:v>
      </x:c>
    </x:row>
    <x:row r="152" ht="84" customHeight="1">
      <x:c r="A152" s="34" t="str">
        <x:v>K8-Q010-R1</x:v>
      </x:c>
      <x:c r="B152" s="34" t="str">
        <x:v>K8</x:v>
      </x:c>
      <x:c r="C152" s="34" t="str">
        <x:v>Q010</x:v>
      </x:c>
      <x:c r="D152" s="34" t="str">
        <x:v>1</x:v>
      </x:c>
      <x:c r="E152" s="34" t="str">
        <x:v>D1</x:v>
      </x:c>
      <x:c r="F152" s="34" t="str">
        <x:v>RAG Paper</x:v>
      </x:c>
      <x:c r="G152" s="34" t="str">
        <x:v>source_grounded_synthesis</x:v>
      </x:c>
      <x:c r="H152" s="34" t="str">
        <x:v>hard</x:v>
      </x:c>
      <x:c r="I152" s="34" t="str">
        <x:v>one_document</x:v>
      </x:c>
      <x:c r="J152" s="34" t="str">
        <x:v>What does RAG add to a standard language generation system?</x:v>
      </x:c>
      <x:c r="K152" s="34" t="str">
        <x:v>A good answer should say that RAG adds an external retrieval component and a document index to a generator. The retriever supplies relevant passages, and the generator uses them with the input to produce a document-grounded output.</x:v>
      </x:c>
      <x:c r="L152" s="34" t="str">
        <x:v>D1 Figure 1; D1 Methods section 2</x:v>
      </x:c>
      <x:c r="M152" s="34" t="str">
        <x:v>RAG (Reversible and Adaptive Generations) adds a significant amount of diversity to a standard language generation system by introducing more diverse retrieval mechanisms. The system is more effective in generating responses that are more specific and factually accurate compared to a state-of-the-art generation model. This is demonstrated through the use of a word overlap-based comparison, where the model is more factual in only 7.1% of cases, while the model is more factual in 42.7% of cases, and both the models are factual in a further 17% of cases, showing the effectiveness of RAG on the task over a state-of-the-art generation model. Additionally, the model is more specific and factually accurate in generating responses for Jeopardy generation tasks, where it is able to generate responses more effectively than the BART model, demonstrating its effectiveness in specific language generation tasks.</x:v>
      </x:c>
      <x:c r="N152" s="42" t="n">
        <x:v>2</x:v>
      </x:c>
      <x:c r="O152" s="42" t="n">
        <x:v>1</x:v>
      </x:c>
      <x:c r="P152" s="42" t="n">
        <x:v>1</x:v>
      </x:c>
      <x:c r="Q152" s="42" t="n">
        <x:v>1</x:v>
      </x:c>
      <x:c r="R152" s="42" t="n">
        <x:v>1</x:v>
      </x:c>
      <x:c r="S152" s="42" t="n">
        <x:v>1</x:v>
      </x:c>
      <x:c r="T152" s="50" t="n">
        <x:f>IF(COUNT(N152:S152)=6,AVERAGE(N152:S152),"")</x:f>
        <x:v>1.1666666666666667</x:v>
      </x:c>
      <x:c r="U152" s="34" t="str">
        <x:v>AI draft note: Mis-expands RAG and discusses diversity rather than an external retriever, document index, passages, and grounded generation.</x:v>
      </x:c>
      <x:c r="V152" s="52" t="str">
        <x:v>AI draft (Codex/GPT); human review required</x:v>
      </x:c>
      <x:c r="W152" s="54" t="str">
        <x:v>2026-06-29</x:v>
      </x:c>
      <x:c r="X152" s="58" t="str">
        <x:v>AI draft - needs human review</x:v>
      </x:c>
    </x:row>
    <x:row r="153" ht="84" customHeight="1">
      <x:c r="A153" s="34" t="str">
        <x:v>F3-Q022-R1</x:v>
      </x:c>
      <x:c r="B153" s="34" t="str">
        <x:v>F3</x:v>
      </x:c>
      <x:c r="C153" s="34" t="str">
        <x:v>Q022</x:v>
      </x:c>
      <x:c r="D153" s="34" t="str">
        <x:v>1</x:v>
      </x:c>
      <x:c r="E153" s="34" t="str">
        <x:v>D3</x:v>
      </x:c>
      <x:c r="F153" s="34" t="str">
        <x:v>NIST AI RMF</x:v>
      </x:c>
      <x:c r="G153" s="34" t="str">
        <x:v>explanation</x:v>
      </x:c>
      <x:c r="H153" s="34" t="str">
        <x:v>medium</x:v>
      </x:c>
      <x:c r="I153" s="34" t="str">
        <x:v>one_document</x:v>
      </x:c>
      <x:c r="J153" s="34" t="str">
        <x:v>Why does AI risk management matter when deploying AI systems?</x:v>
      </x:c>
      <x:c r="K153" s="34" t="str">
        <x:v>A good answer should explain that AI systems can create risks for individuals, organisations, society, and the environment. Risk management helps identify, document, reduce, and monitor negative impacts while supporting trustworthy and responsible use.</x:v>
      </x:c>
      <x:c r="L153" s="34" t="str">
        <x:v>D3 AI RMF Executive Summary; D3 Framing Risk section</x:v>
      </x:c>
      <x:c r="M153" s="34" t="str">
        <x:v>AI risk management is crucial when deploying AI systems because it helps organizations manage risks effectively. By incorporating the MANAGE function into AI systems, organizations can assess and prioritize risks based on their context, needs, and expectations from AI actors. This approach ensures that AI systems are designed and deployed with appropriate risk management resources, thereby reducing the likelihood of significant risks. Additionally, tracking emergent risks during the development, deployment, and use of AI systems can help organizations identify and mitigate risks as they arise. By prioritizing risks in specific contexts, organizations can ensure that the AI systems they develop, deploy, or use are not only low-risk but also meet the needs and expectations of their users. This approach helps organizations manage risks effectively, ensuring that their AI systems are designed and deployed with appropriate risk management resources, thereby reducing the likelihood of significant risks.</x:v>
      </x:c>
      <x:c r="N153" s="42" t="n">
        <x:v>4</x:v>
      </x:c>
      <x:c r="O153" s="42" t="n">
        <x:v>4</x:v>
      </x:c>
      <x:c r="P153" s="42" t="n">
        <x:v>4</x:v>
      </x:c>
      <x:c r="Q153" s="42" t="n">
        <x:v>3</x:v>
      </x:c>
      <x:c r="R153" s="42" t="n">
        <x:v>5</x:v>
      </x:c>
      <x:c r="S153" s="42" t="n">
        <x:v>4</x:v>
      </x:c>
      <x:c r="T153" s="50" t="n">
        <x:f>IF(COUNT(N153:S153)=6,AVERAGE(N153:S153),"")</x:f>
        <x:v>4</x:v>
      </x:c>
      <x:c r="U153" s="34" t="str">
        <x:v>AI draft note: Explains contextual risk assessment and prioritisation, but affected groups, environmental harms, documentation, and monitoring are under-specified.</x:v>
      </x:c>
      <x:c r="V153" s="52" t="str">
        <x:v>AI draft (Codex/GPT); human review required</x:v>
      </x:c>
      <x:c r="W153" s="54" t="str">
        <x:v>2026-06-29</x:v>
      </x:c>
      <x:c r="X153" s="58" t="str">
        <x:v>AI draft - needs human review</x:v>
      </x:c>
    </x:row>
    <x:row r="154" ht="84" customHeight="1">
      <x:c r="A154" s="34" t="str">
        <x:v>K8-Q033-R1</x:v>
      </x:c>
      <x:c r="B154" s="34" t="str">
        <x:v>K8</x:v>
      </x:c>
      <x:c r="C154" s="34" t="str">
        <x:v>Q033</x:v>
      </x:c>
      <x:c r="D154" s="34" t="str">
        <x:v>1</x:v>
      </x:c>
      <x:c r="E154" s="34" t="str">
        <x:v>D4</x:v>
      </x:c>
      <x:c r="F154" s="34" t="str">
        <x:v>ICO AI Data Protection Guidance</x:v>
      </x:c>
      <x:c r="G154" s="34" t="str">
        <x:v>explanation</x:v>
      </x:c>
      <x:c r="H154" s="34" t="str">
        <x:v>medium</x:v>
      </x:c>
      <x:c r="I154" s="34" t="str">
        <x:v>one_document</x:v>
      </x:c>
      <x:c r="J154" s="34" t="str">
        <x:v>Why are accuracy and statistical accuracy relevant to AI outputs?</x:v>
      </x:c>
      <x:c r="K154" s="34" t="str">
        <x:v>A good answer should distinguish data-protection accuracy, meaning personal data is accurate and up to date, from statistical accuracy, meaning how often an AI system gives correct answers against test data. Both matter because inaccurate outputs can affect fairness and personal-data processing.</x:v>
      </x:c>
      <x:c r="L154" s="34" t="str">
        <x:v>D4 ICO accuracy and statistical accuracy chapter</x:v>
      </x:c>
      <x:c r="M154" s="34" t="str">
        <x:v>The context provided suggests that the AI system needs to be sufficiently accurate and statistically accurate to ensure that any personal data generated by it is processed lawfully and fairly. However, overall statistical accuracy is not a particularly useful measure and needs to be broken down into different measures. It is important to measure and prioritise the right ones. If you are in a compliance role and are unsure what these terms mean, you should consult colleagues in the relevant technical roles. Further reading in this context is not available. The context is incomplete and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x:v>
      </x:c>
      <x:c r="N154" s="42" t="n">
        <x:v>4</x:v>
      </x:c>
      <x:c r="O154" s="42" t="n">
        <x:v>3</x:v>
      </x:c>
      <x:c r="P154" s="42" t="n">
        <x:v>4</x:v>
      </x:c>
      <x:c r="Q154" s="42" t="n">
        <x:v>3</x:v>
      </x:c>
      <x:c r="R154" s="42" t="n">
        <x:v>4</x:v>
      </x:c>
      <x:c r="S154" s="42" t="n">
        <x:v>4</x:v>
      </x:c>
      <x:c r="T154" s="50" t="n">
        <x:f>IF(COUNT(N154:S154)=6,AVERAGE(N154:S154),"")</x:f>
        <x:v>3.6666666666666665</x:v>
      </x:c>
      <x:c r="U154" s="34" t="str">
        <x:v>AI draft note: Recognises lawful and fair processing and limitations of aggregate accuracy, but does not cleanly distinguish personal-data accuracy from test performance.</x:v>
      </x:c>
      <x:c r="V154" s="52" t="str">
        <x:v>AI draft (Codex/GPT); human review required</x:v>
      </x:c>
      <x:c r="W154" s="54" t="str">
        <x:v>2026-06-29</x:v>
      </x:c>
      <x:c r="X154" s="58" t="str">
        <x:v>AI draft - needs human review</x:v>
      </x:c>
    </x:row>
    <x:row r="155" ht="84" customHeight="1">
      <x:c r="A155" s="34" t="str">
        <x:v>F3-Q015-R1</x:v>
      </x:c>
      <x:c r="B155" s="34" t="str">
        <x:v>F3</x:v>
      </x:c>
      <x:c r="C155" s="34" t="str">
        <x:v>Q015</x:v>
      </x:c>
      <x:c r="D155" s="34" t="str">
        <x:v>1</x:v>
      </x:c>
      <x:c r="E155" s="34" t="str">
        <x:v>D2</x:v>
      </x:c>
      <x:c r="F155" s="34" t="str">
        <x:v>llama.cpp README</x:v>
      </x:c>
      <x:c r="G155" s="34" t="str">
        <x:v>fact_retrieval</x:v>
      </x:c>
      <x:c r="H155" s="34" t="str">
        <x:v>easy</x:v>
      </x:c>
      <x:c r="I155" s="34" t="str">
        <x:v>one_document</x:v>
      </x:c>
      <x:c r="J155" s="34" t="str">
        <x:v>What is the purpose of running llama-server rather than only a command-line model?</x:v>
      </x:c>
      <x:c r="K155" s="34" t="str">
        <x:v>A good answer should say that llama-server starts a local HTTP server for serving the model, including a web UI and chat completion endpoint, so other applications such as a backend can call it over HTTP.</x:v>
      </x:c>
      <x:c r="L155" s="34" t="str">
        <x:v>D2 README llama-server section</x:v>
      </x:c>
      <x:c r="M155" s="34" t="str">
        <x:v>Running llama-server is essential because it provides a web UI for accessing the server, allowing users to interact with the model through a browser. This makes it easier for users to interact with the model and perform various operations, such as chat completions. Additionally, running llama-server allows for multiple users to connect to the server simultaneously, enabling parallel decoding.</x:v>
      </x:c>
      <x:c r="N155" s="42" t="n">
        <x:v>5</x:v>
      </x:c>
      <x:c r="O155" s="42" t="n">
        <x:v>5</x:v>
      </x:c>
      <x:c r="P155" s="42" t="n">
        <x:v>5</x:v>
      </x:c>
      <x:c r="Q155" s="42" t="n">
        <x:v>5</x:v>
      </x:c>
      <x:c r="R155" s="42" t="n">
        <x:v>5</x:v>
      </x:c>
      <x:c r="S155" s="42" t="n">
        <x:v>5</x:v>
      </x:c>
      <x:c r="T155" s="50" t="n">
        <x:f>IF(COUNT(N155:S155)=6,AVERAGE(N155:S155),"")</x:f>
        <x:v>5</x:v>
      </x:c>
      <x:c r="U155" s="34" t="str">
        <x:v>AI draft note: Directly explains browser UI, chat completions, multi-user serving, and why HTTP access is more useful than CLI-only execution.</x:v>
      </x:c>
      <x:c r="V155" s="52" t="str">
        <x:v>AI draft (Codex/GPT); human review required</x:v>
      </x:c>
      <x:c r="W155" s="54" t="str">
        <x:v>2026-06-29</x:v>
      </x:c>
      <x:c r="X155" s="58" t="str">
        <x:v>AI draft - needs human review</x:v>
      </x:c>
    </x:row>
    <x:row r="156" ht="84" customHeight="1">
      <x:c r="A156" s="34" t="str">
        <x:v>F3-Q040-R1</x:v>
      </x:c>
      <x:c r="B156" s="34" t="str">
        <x:v>F3</x:v>
      </x:c>
      <x:c r="C156" s="34" t="str">
        <x:v>Q040</x:v>
      </x:c>
      <x:c r="D156" s="34" t="str">
        <x:v>1</x:v>
      </x:c>
      <x:c r="E156" s="34" t="str">
        <x:v>D1+D2+D3+D4</x:v>
      </x:c>
      <x:c r="F156" s="34" t="str">
        <x:v>Multiple Sources</x:v>
      </x:c>
      <x:c r="G156" s="34" t="str">
        <x:v>source_grounded_synthesis</x:v>
      </x:c>
      <x:c r="H156" s="34" t="str">
        <x:v>hard</x:v>
      </x:c>
      <x:c r="I156" s="34" t="str">
        <x:v>multiple_documents</x:v>
      </x:c>
      <x:c r="J156" s="34" t="str">
        <x:v>Based on the source documents why should the dissertation conclusion be a conditional recommendation rather than a single universal winner?</x:v>
      </x:c>
      <x:c r="K156" s="34" t="str">
        <x:v>A good answer should synthesise that RAG improves grounding, llama.cpp enables local deployment and quantisation, NIST frames broader risk/trustworthiness, and ICO shows remaining data protection duties. Therefore the best configuration depends on priorities such as quality, speed, memory, practicality, and privacy risk, rather than one universal winner.</x:v>
      </x:c>
      <x:c r="L156" s="34" t="str">
        <x:v>D1 RAG motivation; D2 local inference and quantisation; D3 trustworthiness/risk management; D4 data protection obligations</x:v>
      </x:c>
      <x:c r="M156" s="34" t="str">
        <x:v>Based on the source documents, the dissertation conclusion should be a conditional recommendation rather than a single universal winner. The conclusion should be based on a combination of evidence from multiple sources, rather than a single source that is universally accepted as the best option. This approach allows for a more nuanced and comprehensive evaluation of the research, taking into account the varying perspectives and evidence presented in the literature.</x:v>
      </x:c>
      <x:c r="N156" s="42" t="n">
        <x:v>3</x:v>
      </x:c>
      <x:c r="O156" s="42" t="n">
        <x:v>3</x:v>
      </x:c>
      <x:c r="P156" s="42" t="n">
        <x:v>2</x:v>
      </x:c>
      <x:c r="Q156" s="42" t="n">
        <x:v>2</x:v>
      </x:c>
      <x:c r="R156" s="42" t="n">
        <x:v>4</x:v>
      </x:c>
      <x:c r="S156" s="42" t="n">
        <x:v>2</x:v>
      </x:c>
      <x:c r="T156" s="50" t="n">
        <x:f>IF(COUNT(N156:S156)=6,AVERAGE(N156:S156),"")</x:f>
        <x:v>2.6666666666666665</x:v>
      </x:c>
      <x:c r="U156" s="34" t="str">
        <x:v>AI draft note: Recognises multi-source nuance but omits the required RAG, llama.cpp, trustworthiness, data-protection, and resource-priority synthesis.</x:v>
      </x:c>
      <x:c r="V156" s="52" t="str">
        <x:v>AI draft (Codex/GPT); human review required</x:v>
      </x:c>
      <x:c r="W156" s="54" t="str">
        <x:v>2026-06-29</x:v>
      </x:c>
      <x:c r="X156" s="58" t="str">
        <x:v>AI draft - needs human review</x:v>
      </x:c>
    </x:row>
    <x:row r="157" ht="84" customHeight="1">
      <x:c r="A157" s="34" t="str">
        <x:v>K8-Q038-R1</x:v>
      </x:c>
      <x:c r="B157" s="34" t="str">
        <x:v>K8</x:v>
      </x:c>
      <x:c r="C157" s="34" t="str">
        <x:v>Q038</x:v>
      </x:c>
      <x:c r="D157" s="34" t="str">
        <x:v>1</x:v>
      </x:c>
      <x:c r="E157" s="34" t="str">
        <x:v>D1+D2</x:v>
      </x:c>
      <x:c r="F157" s="34" t="str">
        <x:v>RAG Paper and llama.cpp README</x:v>
      </x:c>
      <x:c r="G157" s="34" t="str">
        <x:v>comparison</x:v>
      </x:c>
      <x:c r="H157" s="34" t="str">
        <x:v>hard</x:v>
      </x:c>
      <x:c r="I157" s="34" t="str">
        <x:v>multiple_documents</x:v>
      </x:c>
      <x:c r="J157" s="34" t="str">
        <x:v>How do RAG and local deployment address different parts of the question-answering problem?</x:v>
      </x:c>
      <x:c r="K157" s="34" t="str">
        <x:v>A good answer should say that RAG addresses knowledge grounding by retrieving and using source passages, while local deployment addresses where inference runs and what hardware/runtime is used. They solve different but complementary problems: answer grounding and practical private execution.</x:v>
      </x:c>
      <x:c r="L157" s="34" t="str">
        <x:v>D1 abstract/Methods; D2 README Description/llama-server</x:v>
      </x:c>
      <x:c r="M157" s="34" t="str">
        <x:v>The context provided discusses the performance and architecture of a Retrieval-Augmented Generation (RAG) system in relation to Open-domain Question Answering (QA) and Abstractive Question Answering (QA). The text mentions that RAG outperforms a BART model on Open MS-MARCO NLG, achieving higher accuracy in specific cases. The system is described as impressive given its ability to access gold passages with specific information for training and test time. The system is compared to other models, including a BART model, which is used as a benchmark for Open-domain Question Answering. The text also mentions that the system is designed to handle different parts of the question-answering problem, such as Open-domain and Abstractive Question Answering.</x:v>
      </x:c>
      <x:c r="N157" s="42" t="n">
        <x:v>1</x:v>
      </x:c>
      <x:c r="O157" s="42" t="n">
        <x:v>2</x:v>
      </x:c>
      <x:c r="P157" s="42" t="n">
        <x:v>3</x:v>
      </x:c>
      <x:c r="Q157" s="42" t="n">
        <x:v>1</x:v>
      </x:c>
      <x:c r="R157" s="42" t="n">
        <x:v>3</x:v>
      </x:c>
      <x:c r="S157" s="42" t="n">
        <x:v>3</x:v>
      </x:c>
      <x:c r="T157" s="50" t="n">
        <x:f>IF(COUNT(N157:S157)=6,AVERAGE(N157:S157),"")</x:f>
        <x:v>2.1666666666666665</x:v>
      </x:c>
      <x:c r="U157" s="34" t="str">
        <x:v>AI draft note: Discusses only RAG benchmark performance and fails to address local runtime, hardware, inference location, privacy, or complementary functions.</x:v>
      </x:c>
      <x:c r="V157" s="52" t="str">
        <x:v>AI draft (Codex/GPT); human review required</x:v>
      </x:c>
      <x:c r="W157" s="54" t="str">
        <x:v>2026-06-29</x:v>
      </x:c>
      <x:c r="X157" s="58" t="str">
        <x:v>AI draft - needs human review</x:v>
      </x:c>
    </x:row>
    <x:row r="158" ht="84" customHeight="1">
      <x:c r="A158" s="34" t="str">
        <x:v>K8-Q009-R1</x:v>
      </x:c>
      <x:c r="B158" s="34" t="str">
        <x:v>K8</x:v>
      </x:c>
      <x:c r="C158" s="34" t="str">
        <x:v>Q009</x:v>
      </x:c>
      <x:c r="D158" s="34" t="str">
        <x:v>1</x:v>
      </x:c>
      <x:c r="E158" s="34" t="str">
        <x:v>D1</x:v>
      </x:c>
      <x:c r="F158" s="34" t="str">
        <x:v>RAG Paper</x:v>
      </x:c>
      <x:c r="G158" s="34" t="str">
        <x:v>explanation</x:v>
      </x:c>
      <x:c r="H158" s="34" t="str">
        <x:v>medium</x:v>
      </x:c>
      <x:c r="I158" s="34" t="str">
        <x:v>one_document</x:v>
      </x:c>
      <x:c r="J158" s="34" t="str">
        <x:v>Why is grounding an answer in retrieved evidence useful for reducing unsupported claims?</x:v>
      </x:c>
      <x:c r="K158" s="34" t="str">
        <x:v>A good answer should explain that retrieved evidence gives the generator relevant factual context and gives the evaluator material to compare against. It should not claim grounding fully eliminates hallucination; it reduces risk when retrieval and generation work correctly.</x:v>
      </x:c>
      <x:c r="L158" s="34" t="str">
        <x:v>D1 Introduction; D1 Results section 4.2; D1 Table 3 discussion</x:v>
      </x:c>
      <x:c r="M158" s="34" t="str">
        <x:v>The context provided suggests that the statement about the usefulness of grounding an answer in retrieved evidence is useful for reducing unsupported claims is likely to be a common and important point in many real-world applications. However, without the specific context provided, it is not appropriate to make a general statement about the accuracy of this statement. The context does not provide enough information to make a definitive claim about its truth or falsity. Therefore, I cannot provide a specific answer to the question "Why is grounding an answer in retrieved evidence useful for reducing unsupported claims?" based on the given context. The context does not contain relevant information to answer this question.</x:v>
      </x:c>
      <x:c r="N158" s="42" t="n">
        <x:v>1</x:v>
      </x:c>
      <x:c r="O158" s="42" t="n">
        <x:v>1</x:v>
      </x:c>
      <x:c r="P158" s="42" t="n">
        <x:v>1</x:v>
      </x:c>
      <x:c r="Q158" s="42" t="n">
        <x:v>1</x:v>
      </x:c>
      <x:c r="R158" s="42" t="n">
        <x:v>3</x:v>
      </x:c>
      <x:c r="S158" s="42" t="n">
        <x:v>1</x:v>
      </x:c>
      <x:c r="T158" s="50" t="n">
        <x:f>IF(COUNT(N158:S158)=6,AVERAGE(N158:S158),"")</x:f>
        <x:v>1.3333333333333333</x:v>
      </x:c>
      <x:c r="U158" s="34" t="str">
        <x:v>AI draft note: Avoids answering and says context is insufficient; it does not explain factual context, evaluator comparison, or residual hallucination risk.</x:v>
      </x:c>
      <x:c r="V158" s="52" t="str">
        <x:v>AI draft (Codex/GPT); human review required</x:v>
      </x:c>
      <x:c r="W158" s="54" t="str">
        <x:v>2026-06-29</x:v>
      </x:c>
      <x:c r="X158" s="58" t="str">
        <x:v>AI draft - needs human review</x:v>
      </x:c>
    </x:row>
    <x:row r="159" ht="84" customHeight="1">
      <x:c r="A159" s="34" t="str">
        <x:v>R9-Q014-R1</x:v>
      </x:c>
      <x:c r="B159" s="34" t="str">
        <x:v>R9</x:v>
      </x:c>
      <x:c r="C159" s="34" t="str">
        <x:v>Q014</x:v>
      </x:c>
      <x:c r="D159" s="34" t="str">
        <x:v>1</x:v>
      </x:c>
      <x:c r="E159" s="34" t="str">
        <x:v>D2</x:v>
      </x:c>
      <x:c r="F159" s="34" t="str">
        <x:v>llama.cpp README</x:v>
      </x:c>
      <x:c r="G159" s="34" t="str">
        <x:v>explanation</x:v>
      </x:c>
      <x:c r="H159" s="34" t="str">
        <x:v>medium</x:v>
      </x:c>
      <x:c r="I159" s="34" t="str">
        <x:v>one_document</x:v>
      </x:c>
      <x:c r="J159" s="34" t="str">
        <x:v>How does quantisation support faster inference or lower memory use?</x:v>
      </x:c>
      <x:c r="K159" s="34" t="str">
        <x:v>A good answer should explain that quantisation stores model weights with fewer bits, such as 4-bit or 8-bit integers, reducing memory use and often improving inference speed. It should also note that quality may change, so it must be benchmarked.</x:v>
      </x:c>
      <x:c r="L159" s="34" t="str">
        <x:v>D2 README Description quantisation bullet; D2 quantisation documentation reference</x:v>
      </x:c>
      <x:c r="M159" s="34" t="str">
        <x:v>Quantization supports faster inference and lower memory use by reducing the precision of the data. This is achieved through various techniques such as 1-bit, 2-bit, 3-bit, 4-bit, 5-bit, 6-bit, and 8-bit integer quantization. By using fewer bits to represent the data, the model requires less memory and can process the data more quickly, leading to faster inference times.</x:v>
      </x:c>
      <x:c r="N159" s="42" t="n">
        <x:v>5</x:v>
      </x:c>
      <x:c r="O159" s="42" t="n">
        <x:v>5</x:v>
      </x:c>
      <x:c r="P159" s="42" t="n">
        <x:v>5</x:v>
      </x:c>
      <x:c r="Q159" s="42" t="n">
        <x:v>4</x:v>
      </x:c>
      <x:c r="R159" s="42" t="n">
        <x:v>5</x:v>
      </x:c>
      <x:c r="S159" s="42" t="n">
        <x:v>5</x:v>
      </x:c>
      <x:c r="T159" s="50" t="n">
        <x:f>IF(COUNT(N159:S159)=6,AVERAGE(N159:S159),"")</x:f>
        <x:v>4.833333333333333</x:v>
      </x:c>
      <x:c r="U159" s="34" t="str">
        <x:v>AI draft note: Correctly explains reduced bit precision, lower memory, and faster processing; it omits the possible quality trade-off and benchmarking need.</x:v>
      </x:c>
      <x:c r="V159" s="52" t="str">
        <x:v>AI draft (Codex/GPT); human review required</x:v>
      </x:c>
      <x:c r="W159" s="54" t="str">
        <x:v>2026-06-29</x:v>
      </x:c>
      <x:c r="X159" s="58" t="str">
        <x:v>AI draft - needs human review</x:v>
      </x:c>
    </x:row>
    <x:row r="160" ht="84" customHeight="1">
      <x:c r="A160" s="34" t="str">
        <x:v>T2-Q029-R1</x:v>
      </x:c>
      <x:c r="B160" s="34" t="str">
        <x:v>T2</x:v>
      </x:c>
      <x:c r="C160" s="34" t="str">
        <x:v>Q029</x:v>
      </x:c>
      <x:c r="D160" s="34" t="str">
        <x:v>1</x:v>
      </x:c>
      <x:c r="E160" s="34" t="str">
        <x:v>D3</x:v>
      </x:c>
      <x:c r="F160" s="34" t="str">
        <x:v>NIST AI RMF</x:v>
      </x:c>
      <x:c r="G160" s="34" t="str">
        <x:v>comparison</x:v>
      </x:c>
      <x:c r="H160" s="34" t="str">
        <x:v>medium</x:v>
      </x:c>
      <x:c r="I160" s="34" t="str">
        <x:v>one_document</x:v>
      </x:c>
      <x:c r="J160" s="34" t="str">
        <x:v>Why is it useful to separate technical performance from broader trust and governance concerns?</x:v>
      </x:c>
      <x:c r="K160" s="34" t="str">
        <x:v>A good answer should explain that high technical performance does not guarantee transparency, security, fairness, privacy, or accountability. Separating these concepts makes the dissertation recommendation conditional and more defensible.</x:v>
      </x:c>
      <x:c r="L160" s="34" t="str">
        <x:v>D3 AI RMF section 3 trustworthiness; D3 Figure 4 discussion</x:v>
      </x:c>
      <x:c r="M160" s="34" t="str">
        <x:v>Separating technical performance from broader trust and governance concerns is useful because it allows organizations to focus on the essential aspects of AI risk management while also ensuring that their AI systems are developed and deployed with trustworthiness in mind.
Technical performance refers to the technical capabilities and efficiency of AI systems, such as their accuracy, speed, and scalability. While these are crucial for achieving desired outcomes, they do not directly address the trustworthiness of AI systems.
On the other hand, broader trust and governance concerns encompass the social, organizational, and human factors that influence the development and deployment of AI systems. These concerns include:
1.  Ensuring that AI systems are developed and deployed in a way that respects human values and dignity.
2.  Preventing negative risks and ensuring that AI systems are used for beneficial purposes.
3.  Ensuring that AI systems are transparent, accountable, and fair.
By separating technical performance from broader trust and governance concerns, organizations can:
1.  Focus on developing and deploying AI systems that are technically sound and efficient.
2.  Ensure that AI systems are developed and deployed in a way that respects human values and dignity.
3.  Prevent negative risks and ensure that AI systems are used for beneficial purposes.
This approach allows organizations to prioritize the development of trustworthiness characteristics, such as governance, accountability, and transparency, alongside technical performance. This can help organizations build more trustworthy AI systems that are better equipped to support their goals and objectives.</x:v>
      </x:c>
      <x:c r="N160" s="42" t="n">
        <x:v>4</x:v>
      </x:c>
      <x:c r="O160" s="42" t="n">
        <x:v>3</x:v>
      </x:c>
      <x:c r="P160" s="42" t="n">
        <x:v>3</x:v>
      </x:c>
      <x:c r="Q160" s="42" t="n">
        <x:v>3</x:v>
      </x:c>
      <x:c r="R160" s="42" t="n">
        <x:v>4</x:v>
      </x:c>
      <x:c r="S160" s="42" t="n">
        <x:v>3</x:v>
      </x:c>
      <x:c r="T160" s="50" t="n">
        <x:f>IF(COUNT(N160:S160)=6,AVERAGE(N160:S160),"")</x:f>
        <x:v>3.3333333333333335</x:v>
      </x:c>
      <x:c r="U160" s="34" t="str">
        <x:v>AI draft note: Explains distinction between capabilities and trustworthiness, but does not clearly enumerate privacy, fairness, accountability, transparency, and conditional recommendations.</x:v>
      </x:c>
      <x:c r="V160" s="52" t="str">
        <x:v>AI draft (Codex/GPT); human review required</x:v>
      </x:c>
      <x:c r="W160" s="54" t="str">
        <x:v>2026-06-29</x:v>
      </x:c>
      <x:c r="X160" s="58" t="str">
        <x:v>AI draft - needs human review</x:v>
      </x:c>
    </x:row>
    <x:row r="161" ht="84" customHeight="1">
      <x:c r="A161" s="34" t="str">
        <x:v>K8-Q021-R1</x:v>
      </x:c>
      <x:c r="B161" s="34" t="str">
        <x:v>K8</x:v>
      </x:c>
      <x:c r="C161" s="34" t="str">
        <x:v>Q021</x:v>
      </x:c>
      <x:c r="D161" s="34" t="str">
        <x:v>1</x:v>
      </x:c>
      <x:c r="E161" s="34" t="str">
        <x:v>D3</x:v>
      </x:c>
      <x:c r="F161" s="34" t="str">
        <x:v>NIST AI RMF</x:v>
      </x:c>
      <x:c r="G161" s="34" t="str">
        <x:v>fact_retrieval</x:v>
      </x:c>
      <x:c r="H161" s="34" t="str">
        <x:v>easy</x:v>
      </x:c>
      <x:c r="I161" s="34" t="str">
        <x:v>one_document</x:v>
      </x:c>
      <x:c r="J161" s="34" t="str">
        <x:v>What is the purpose of the NIST AI Risk Management Framework?</x:v>
      </x:c>
      <x:c r="K161" s="34" t="str">
        <x:v>A good answer should state that the AI RMF is a voluntary framework for managing AI risks and improving the incorporation of trustworthiness considerations into AI design, development, use, and evaluation.</x:v>
      </x:c>
      <x:c r="L161" s="34" t="str">
        <x:v>D3 NIST AI RMF web overview; D3 AI RMF Executive Summary</x:v>
      </x:c>
      <x:c r="M161" s="34" t="str">
        <x:v>The purpose of the NIST AI Risk Management Framework is to provide a comprehensive approach to manage potential negative impacts of AI systems, ensuring that they can minimize threats to civil liberties and rights while also maximizing positive impacts. It includes understanding and addressing risks, impacts, and harms, and provides methods for organizations to effectively manage AI risks and potential negative impacts. The framework is intended to be used collaboratively with others to develop metrics, methodologies, and goals for evaluating the effectiveness of the AI RMF, and to share supporting information. It is expected to help organizations enhance their processes for governing, mapping, measuring, and managing AI risks, and to manage outcomes.</x:v>
      </x:c>
      <x:c r="N161" s="42" t="n">
        <x:v>5</x:v>
      </x:c>
      <x:c r="O161" s="42" t="n">
        <x:v>4</x:v>
      </x:c>
      <x:c r="P161" s="42" t="n">
        <x:v>4</x:v>
      </x:c>
      <x:c r="Q161" s="42" t="n">
        <x:v>4</x:v>
      </x:c>
      <x:c r="R161" s="42" t="n">
        <x:v>5</x:v>
      </x:c>
      <x:c r="S161" s="42" t="n">
        <x:v>4</x:v>
      </x:c>
      <x:c r="T161" s="50" t="n">
        <x:f>IF(COUNT(N161:S161)=6,AVERAGE(N161:S161),"")</x:f>
        <x:v>4.333333333333333</x:v>
      </x:c>
      <x:c r="U161" s="34" t="str">
        <x:v>AI draft note: Strong risk, rights, impacts, and management explanation; voluntary status and full design-to-evaluation lifecycle are not explicit.</x:v>
      </x:c>
      <x:c r="V161" s="52" t="str">
        <x:v>AI draft (Codex/GPT); human review required</x:v>
      </x:c>
      <x:c r="W161" s="54" t="str">
        <x:v>2026-06-29</x:v>
      </x:c>
      <x:c r="X161" s="58" t="str">
        <x:v>AI draft - needs human review</x:v>
      </x:c>
    </x:row>
    <x:row r="162" ht="84" customHeight="1">
      <x:c r="A162" s="34" t="str">
        <x:v>T2-Q034-R1</x:v>
      </x:c>
      <x:c r="B162" s="34" t="str">
        <x:v>T2</x:v>
      </x:c>
      <x:c r="C162" s="34" t="str">
        <x:v>Q034</x:v>
      </x:c>
      <x:c r="D162" s="34" t="str">
        <x:v>1</x:v>
      </x:c>
      <x:c r="E162" s="34" t="str">
        <x:v>D4</x:v>
      </x:c>
      <x:c r="F162" s="34" t="str">
        <x:v>ICO AI Data Protection Guidance</x:v>
      </x:c>
      <x:c r="G162" s="34" t="str">
        <x:v>explanation</x:v>
      </x:c>
      <x:c r="H162" s="34" t="str">
        <x:v>medium</x:v>
      </x:c>
      <x:c r="I162" s="34" t="str">
        <x:v>one_document</x:v>
      </x:c>
      <x:c r="J162" s="34" t="str">
        <x:v>How do security and data minimisation relate to AI deployment?</x:v>
      </x:c>
      <x:c r="K162" s="34" t="str">
        <x:v>A good answer should state that AI systems can worsen security risks and make data minimisation harder. Organisations should process personal data securely, assess risk, document data movements, delete unnecessary intermediate files, and use minimisation or privacy-preserving techniques where appropriate.</x:v>
      </x:c>
      <x:c r="L162" s="34" t="str">
        <x:v>D4 ICO security and data minimisation chapter</x:v>
      </x:c>
      <x:c r="M162" s="34" t="str">
        <x:v>Assessing security and data minimisation in AI is crucial to ensure that AI systems are developed and deployed in a secure and responsible manner. Here's a rephrased version of the information, combined with relevant parts, and added general knowledge for obvious facts:
**Assessing Security and Data Minimisation in AI:**
When assessing security and data minimisation in AI, it's essential to consider the potential risks and challenges associated with these technologies. Here are some key points to consider:
1. **Exacerbating known security risks**: AI systems can introduce new security risks, such as increased vulnerability to cyber attacks, data breaches, and unauthorized access to sensitive information.
2. **Challenges for compliance**: Ensuring compliance with data minimisation principles can be complex, especially when dealing with large-scale AI systems that involve sensitive personal data.
3. **Techniques for effective AI development and deployment**: To mitigate these risks, it's essential to employ techniques such as data minimisation, privacy-preserving, and secure data storage.
**Security Risks Introduced by AI:**
AI systems can introduce various security risks, including:
1. **Data breaches**: AI models can be vulnerable to data breaches, especially if they are not properly secured or if they are used to access sensitive information.
2. **Unauthorized access**: AI systems can be used to access sensitive information without proper authorization, which can lead to unauthorized access and data breaches.
3. **Malicious attacks**: AI models can be used to launch malicious attacks, such as AI-powered phishing or AI-generated malware.
**Managing Privacy Attacks on AI Models:**
To manage privacy attacks on AI models, consider the following steps:
1. **Implement data minimisation**: Ensure that only necessary data is collected and processed, and that the minimum amount of data is required to achieve the desired outcome.
2. **Use privacy-preserving techniques**: Implement techniques such as homomorphic encryption, differential privacy, or secure multi-party computation to protect sensitive information.
3. **Implement secure data storage**: Use secure data storage mechanisms, such as encrypted storage or secure cloud storage, to protect sensitive information.
**Available Data Minimisation and Privacy-Preserving Techniques:**
Several techniques are available to help with data minimisation and privacy-preserving in AI systems, including:
1. **Data anonymization**: Anonymizing data can help protect sensitive information while still allowing for meaningful analysis.
2. **Data aggregation**: Aggregating data can help reduce the amount of sensitive information required to achieve a desired outcome.
3.</x:v>
      </x:c>
      <x:c r="N162" s="42" t="n">
        <x:v>4</x:v>
      </x:c>
      <x:c r="O162" s="42" t="n">
        <x:v>4</x:v>
      </x:c>
      <x:c r="P162" s="42" t="n">
        <x:v>4</x:v>
      </x:c>
      <x:c r="Q162" s="42" t="n">
        <x:v>4</x:v>
      </x:c>
      <x:c r="R162" s="42" t="n">
        <x:v>4</x:v>
      </x:c>
      <x:c r="S162" s="42" t="n">
        <x:v>4</x:v>
      </x:c>
      <x:c r="T162" s="50" t="n">
        <x:f>IF(COUNT(N162:S162)=6,AVERAGE(N162:S162),"")</x:f>
        <x:v>4</x:v>
      </x:c>
      <x:c r="U162" s="34" t="str">
        <x:v>AI draft note: Substantive security and minimisation response, though concrete data-flow documentation and deletion of intermediate files are not clearly evidenced.</x:v>
      </x:c>
      <x:c r="V162" s="52" t="str">
        <x:v>AI draft (Codex/GPT); human review required</x:v>
      </x:c>
      <x:c r="W162" s="54" t="str">
        <x:v>2026-06-29</x:v>
      </x:c>
      <x:c r="X162" s="58" t="str">
        <x:v>AI draft - needs human review</x:v>
      </x:c>
    </x:row>
    <x:row r="163" ht="84" customHeight="1">
      <x:c r="A163" s="34" t="str">
        <x:v>A7-Q035-R1</x:v>
      </x:c>
      <x:c r="B163" s="34" t="str">
        <x:v>A7</x:v>
      </x:c>
      <x:c r="C163" s="34" t="str">
        <x:v>Q035</x:v>
      </x:c>
      <x:c r="D163" s="34" t="str">
        <x:v>1</x:v>
      </x:c>
      <x:c r="E163" s="34" t="str">
        <x:v>D4</x:v>
      </x:c>
      <x:c r="F163" s="34" t="str">
        <x:v>ICO AI Data Protection Guidance</x:v>
      </x:c>
      <x:c r="G163" s="34" t="str">
        <x:v>boundary_limitation</x:v>
      </x:c>
      <x:c r="H163" s="34" t="str">
        <x:v>hard</x:v>
      </x:c>
      <x:c r="I163" s="34" t="str">
        <x:v>one_document</x:v>
      </x:c>
      <x:c r="J163" s="34" t="str">
        <x:v>What kinds of local risks remain even if a model does not send data to a cloud API?</x:v>
      </x:c>
      <x:c r="K163" s="34" t="str">
        <x:v>A good answer should mention local storage, logs, vector databases, cached files, model outputs, access control, backups, device compromise, insecure dependencies, and possible privacy attacks or leakage from models. It should not claim local equals fully private.</x:v>
      </x:c>
      <x:c r="L163" s="34" t="str">
        <x:v>D4 ICO security and data minimisation chapter; D4 privacy attacks section</x:v>
      </x:c>
      <x:c r="M163" s="34" t="str">
        <x:v>Even if a model doesn’t send data to a cloud API, several local risks remain. These risks primarily relate to the model’s deployment environment and the potential for privacy breaches. Here’s a breakdown of the key concerns:
*   **Data Leakage:** The model itself, or its training data (if it’s not fully de-identified), could be inadvertently exposed through local storage, configuration files, or even the deployment environment. This is a significant concern as it could lead to unauthorized access to sensitive information.
*   **Configuration Errors:** Misconfigured settings within the local environment – such as insecure storage or weak access controls – could allow unauthorized individuals to access the model’s parameters or data.
*   **Physical Security:** If the model is deployed on physical hardware (e.g., a laptop or server), physical security breaches could compromise the model’s integrity.
*   **Malware/Compromise:** Malware or malicious software could potentially be installed on the device hosting the model, leading to unauthorized access or modification of the model’s data or behavior.
*   **Insider Threats:** Individuals with authorized access to the local environment could intentionally or unintentionally expose the model or its data.
*   **Lack of Proper Data Handling:** Without robust data handling practices, there’s a risk of data being mishandled or lost, potentially exposing sensitive information.
It’s important to note that while cloud APIs pose a risk of white-box attacks, local deployments offer a different set of vulnerabilities, and careful consideration of the deployment environment is crucial for mitigating these risks.</x:v>
      </x:c>
      <x:c r="N163" s="42" t="n">
        <x:v>4</x:v>
      </x:c>
      <x:c r="O163" s="42" t="n">
        <x:v>4</x:v>
      </x:c>
      <x:c r="P163" s="42" t="n">
        <x:v>4</x:v>
      </x:c>
      <x:c r="Q163" s="42" t="n">
        <x:v>4</x:v>
      </x:c>
      <x:c r="R163" s="42" t="n">
        <x:v>4</x:v>
      </x:c>
      <x:c r="S163" s="42" t="n">
        <x:v>4</x:v>
      </x:c>
      <x:c r="T163" s="50" t="n">
        <x:f>IF(COUNT(N163:S163)=6,AVERAGE(N163:S163),"")</x:f>
        <x:v>4</x:v>
      </x:c>
      <x:c r="U163" s="34" t="str">
        <x:v>AI draft note: Covers data leakage and deployment risks, but the visible response does not clearly enumerate all logs, caches, backups, dependencies, and access controls.</x:v>
      </x:c>
      <x:c r="V163" s="52" t="str">
        <x:v>AI draft (Codex/GPT); human review required</x:v>
      </x:c>
      <x:c r="W163" s="54" t="str">
        <x:v>2026-06-29</x:v>
      </x:c>
      <x:c r="X163" s="58" t="str">
        <x:v>AI draft - needs human review</x:v>
      </x:c>
    </x:row>
    <x:row r="164" ht="84" customHeight="1">
      <x:c r="A164" s="34" t="str">
        <x:v>K8-Q020-R1</x:v>
      </x:c>
      <x:c r="B164" s="34" t="str">
        <x:v>K8</x:v>
      </x:c>
      <x:c r="C164" s="34" t="str">
        <x:v>Q020</x:v>
      </x:c>
      <x:c r="D164" s="34" t="str">
        <x:v>1</x:v>
      </x:c>
      <x:c r="E164" s="34" t="str">
        <x:v>D2</x:v>
      </x:c>
      <x:c r="F164" s="34" t="str">
        <x:v>llama.cpp README</x:v>
      </x:c>
      <x:c r="G164" s="34" t="str">
        <x:v>boundary_limitation</x:v>
      </x:c>
      <x:c r="H164" s="34" t="str">
        <x:v>hard</x:v>
      </x:c>
      <x:c r="I164" s="34" t="str">
        <x:v>one_document</x:v>
      </x:c>
      <x:c r="J164" s="34" t="str">
        <x:v>What deployment limitation might still remain even if the runtime supports local inference?</x:v>
      </x:c>
      <x:c r="K164" s="34" t="str">
        <x:v>A good answer should note that local inference does not remove limits such as model size, memory, CPU/GPU speed, supported formats, software setup, and security of the local device. It should present local deployment as practical but still constrained.</x:v>
      </x:c>
      <x:c r="L164" s="34" t="str">
        <x:v>D2 README Description; D2 Quick start; D4 ICO security/data minimisation context</x:v>
      </x:c>
      <x:c r="M164" s="34" t="str">
        <x:v>Based on the provided context, it seems that the main issue is related to the limitations of the deployment of a particular system or method, particularly in relation to local inference and privacy attacks. However, the specific context provided is not complete and seems to be a general statement rather than a direct question. 
To be more precise, the context suggests that there is a challenge in the deployment of a particular system or method, particularly in relation to local inference and privacy attacks. The answer provided seems to be a general statement rather than a direct question.
This context appears to be a general statement rather than a direct question, and the answer provided seems to be a general statement rather than a direct question. The context is not complete and seems to be a general statement rather than a direct question. The answer provided is not relevant to the context and seems to be a general statement rather than a direct question. The context and answer do not match and are not relevant to the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x:v>
      </x:c>
      <x:c r="N164" s="42" t="n">
        <x:v>2</x:v>
      </x:c>
      <x:c r="O164" s="42" t="n">
        <x:v>2</x:v>
      </x:c>
      <x:c r="P164" s="42" t="n">
        <x:v>2</x:v>
      </x:c>
      <x:c r="Q164" s="42" t="n">
        <x:v>1</x:v>
      </x:c>
      <x:c r="R164" s="42" t="n">
        <x:v>3</x:v>
      </x:c>
      <x:c r="S164" s="42" t="n">
        <x:v>2</x:v>
      </x:c>
      <x:c r="T164" s="50" t="n">
        <x:f>IF(COUNT(N164:S164)=6,AVERAGE(N164:S164),"")</x:f>
        <x:v>2</x:v>
      </x:c>
      <x:c r="U164" s="34" t="str">
        <x:v>AI draft note: Vaguely discusses privacy attacks but does not identify the main model-size, memory, compute, format, setup, and device constraints.</x:v>
      </x:c>
      <x:c r="V164" s="52" t="str">
        <x:v>AI draft (Codex/GPT); human review required</x:v>
      </x:c>
      <x:c r="W164" s="54" t="str">
        <x:v>2026-06-29</x:v>
      </x:c>
      <x:c r="X164" s="58" t="str">
        <x:v>AI draft - needs human review</x:v>
      </x:c>
    </x:row>
    <x:row r="165" ht="84" customHeight="1">
      <x:c r="A165" s="34" t="str">
        <x:v>M4-Q016-R1</x:v>
      </x:c>
      <x:c r="B165" s="34" t="str">
        <x:v>M4</x:v>
      </x:c>
      <x:c r="C165" s="34" t="str">
        <x:v>Q016</x:v>
      </x:c>
      <x:c r="D165" s="34" t="str">
        <x:v>1</x:v>
      </x:c>
      <x:c r="E165" s="34" t="str">
        <x:v>D2</x:v>
      </x:c>
      <x:c r="F165" s="34" t="str">
        <x:v>llama.cpp README</x:v>
      </x:c>
      <x:c r="G165" s="34" t="str">
        <x:v>explanation</x:v>
      </x:c>
      <x:c r="H165" s="34" t="str">
        <x:v>medium</x:v>
      </x:c>
      <x:c r="I165" s="34" t="str">
        <x:v>one_document</x:v>
      </x:c>
      <x:c r="J165" s="34" t="str">
        <x:v>Why is an OpenAI-compatible endpoint useful for this project?</x:v>
      </x:c>
      <x:c r="K165" s="34" t="str">
        <x:v>A good answer should explain that an OpenAI-compatible chat-completions endpoint lets the FastAPI backend call a local model using a familiar API style, reducing changes needed in the RAG app while avoiding a cloud API call.</x:v>
      </x:c>
      <x:c r="L165" s="34" t="str">
        <x:v>D2 README llama-server section; project architecture context</x:v>
      </x:c>
      <x:c r="M165" s="34" t="str">
        <x:v>An OpenAI-compatible endpoint is useful for this project because it allows for seamless integration with existing AI frameworks and libraries, facilitating the development of AI systems without the need for extensive custom coding. OpenAI's compatibility ensures that the project can leverage the rich ecosystem of contributors and services built around popular AI frameworks, reducing the need for extensive custom development and potentially saving time and resources.</x:v>
      </x:c>
      <x:c r="N165" s="42" t="n">
        <x:v>3</x:v>
      </x:c>
      <x:c r="O165" s="42" t="n">
        <x:v>2</x:v>
      </x:c>
      <x:c r="P165" s="42" t="n">
        <x:v>2</x:v>
      </x:c>
      <x:c r="Q165" s="42" t="n">
        <x:v>2</x:v>
      </x:c>
      <x:c r="R165" s="42" t="n">
        <x:v>3</x:v>
      </x:c>
      <x:c r="S165" s="42" t="n">
        <x:v>2</x:v>
      </x:c>
      <x:c r="T165" s="50" t="n">
        <x:f>IF(COUNT(N165:S165)=6,AVERAGE(N165:S165),"")</x:f>
        <x:v>2.3333333333333335</x:v>
      </x:c>
      <x:c r="U165" s="34" t="str">
        <x:v>AI draft note: Recognises integration benefits but frames compatibility generically and omits local chat completions, reduced code changes, and avoiding cloud calls.</x:v>
      </x:c>
      <x:c r="V165" s="52" t="str">
        <x:v>AI draft (Codex/GPT); human review required</x:v>
      </x:c>
      <x:c r="W165" s="54" t="str">
        <x:v>2026-06-29</x:v>
      </x:c>
      <x:c r="X165" s="58" t="str">
        <x:v>AI draft - needs human review</x:v>
      </x:c>
    </x:row>
    <x:row r="166" ht="84" customHeight="1">
      <x:c r="A166" s="34" t="str">
        <x:v>T2-Q039-R1</x:v>
      </x:c>
      <x:c r="B166" s="34" t="str">
        <x:v>T2</x:v>
      </x:c>
      <x:c r="C166" s="34" t="str">
        <x:v>Q039</x:v>
      </x:c>
      <x:c r="D166" s="34" t="str">
        <x:v>1</x:v>
      </x:c>
      <x:c r="E166" s="34" t="str">
        <x:v>D2+D4</x:v>
      </x:c>
      <x:c r="F166" s="34" t="str">
        <x:v>llama.cpp README and ICO AI Data Protection Guidance</x:v>
      </x:c>
      <x:c r="G166" s="34" t="str">
        <x:v>source_grounded_synthesis</x:v>
      </x:c>
      <x:c r="H166" s="34" t="str">
        <x:v>hard</x:v>
      </x:c>
      <x:c r="I166" s="34" t="str">
        <x:v>multiple_documents</x:v>
      </x:c>
      <x:c r="J166" s="34" t="str">
        <x:v>How do technical deployment choices connect to privacy and data protection concerns?</x:v>
      </x:c>
      <x:c r="K166" s="34" t="str">
        <x:v>A good answer should connect local runtime, GGUF/quantised models, and local server setup with data protection questions about data flows, security, logs, dependencies, access control, minimisation, and privacy attacks. It should state that technical architecture affects but does not settle privacy.</x:v>
      </x:c>
      <x:c r="L166" s="34" t="str">
        <x:v>D2 README Description/llama-server/GGUF; D4 security and data minimisation; D4 lawfulness/transparency</x:v>
      </x:c>
      <x:c r="M166" s="34" t="str">
        <x:v>Technical deployment choices in AI systems can significantly impact privacy and data protection concerns. Here's how:
1. **Data Collection and Processing**: The type of data collected, processed, and stored can greatly affect privacy. For instance, collecting personal data without explicit consent can raise concerns about data protection and privacy.
2. **Model Training and Deployment**: The way AI models are trained and deployed can also impact privacy. For example, using techniques like data mining or machine learning to identify patterns in user data can raise concerns about data protection and privacy.
3. **Model Size and Complexity**: Larger and more complex models can be more vulnerable to data breaches and privacy attacks. This is because they often require more computational resources and storage space, making them more attractive to hackers.
4. **Data Storage and Transmission**: The way data is stored and transmitted can also impact privacy. For instance, storing data in unsecured databases or transmitting it over insecure networks can compromise data protection and privacy.
5. **Model Interpretability and Explainability**: The ability of AI models to be understood and explained by humans can impact privacy. If a model is not transparent or explainable, it can be more difficult to identify and mitigate privacy-related risks.
6. **Collaboration and Information Sharing**: As mentioned in the question, collaboration and information sharing between parties are crucial in assessing and mitigating privacy-related risks. This can help ensure that both parties are aware of potential risks and can work together to address them.
To mitigate these risks, it's essential to have clear guidelines and protocols in place for technical deployment choices, including:
- Conducting thorough risk assessments and threat modeling
- Ensuring that data is collected, processed, and stored in a secure and compliant manner
- Implementing robust security measures, such as encryption and access controls
- Providing transparent and explainable models
- Ensuring that data is shared and collaborated on with all relevant parties
By prioritizing privacy and data protection concerns in technical deployment choices, AI systems can be designed and developed in a way that minimizes risks and ensures the protection of sensitive information.</x:v>
      </x:c>
      <x:c r="N166" s="42" t="n">
        <x:v>4</x:v>
      </x:c>
      <x:c r="O166" s="42" t="n">
        <x:v>3</x:v>
      </x:c>
      <x:c r="P166" s="42" t="n">
        <x:v>3</x:v>
      </x:c>
      <x:c r="Q166" s="42" t="n">
        <x:v>3</x:v>
      </x:c>
      <x:c r="R166" s="42" t="n">
        <x:v>4</x:v>
      </x:c>
      <x:c r="S166" s="42" t="n">
        <x:v>3</x:v>
      </x:c>
      <x:c r="T166" s="50" t="n">
        <x:f>IF(COUNT(N166:S166)=6,AVERAGE(N166:S166),"")</x:f>
        <x:v>3.3333333333333335</x:v>
      </x:c>
      <x:c r="U166" s="34" t="str">
        <x:v>AI draft note: Connects deployment with data collection, storage, consent, and security, but under-specifies GGUF, local server logs, dependencies, minimisation, and access control.</x:v>
      </x:c>
      <x:c r="V166" s="52" t="str">
        <x:v>AI draft (Codex/GPT); human review required</x:v>
      </x:c>
      <x:c r="W166" s="54" t="str">
        <x:v>2026-06-29</x:v>
      </x:c>
      <x:c r="X166" s="58" t="str">
        <x:v>AI draft - needs human review</x:v>
      </x:c>
    </x:row>
    <x:row r="167" ht="84" customHeight="1">
      <x:c r="A167" s="34" t="str">
        <x:v>M4-Q015-R1</x:v>
      </x:c>
      <x:c r="B167" s="34" t="str">
        <x:v>M4</x:v>
      </x:c>
      <x:c r="C167" s="34" t="str">
        <x:v>Q015</x:v>
      </x:c>
      <x:c r="D167" s="34" t="str">
        <x:v>1</x:v>
      </x:c>
      <x:c r="E167" s="34" t="str">
        <x:v>D2</x:v>
      </x:c>
      <x:c r="F167" s="34" t="str">
        <x:v>llama.cpp README</x:v>
      </x:c>
      <x:c r="G167" s="34" t="str">
        <x:v>fact_retrieval</x:v>
      </x:c>
      <x:c r="H167" s="34" t="str">
        <x:v>easy</x:v>
      </x:c>
      <x:c r="I167" s="34" t="str">
        <x:v>one_document</x:v>
      </x:c>
      <x:c r="J167" s="34" t="str">
        <x:v>What is the purpose of running llama-server rather than only a command-line model?</x:v>
      </x:c>
      <x:c r="K167" s="34" t="str">
        <x:v>A good answer should say that llama-server starts a local HTTP server for serving the model, including a web UI and chat completion endpoint, so other applications such as a backend can call it over HTTP.</x:v>
      </x:c>
      <x:c r="L167" s="34" t="str">
        <x:v>D2 README llama-server section</x:v>
      </x:c>
      <x:c r="M167" s="34" t="str">
        <x:v>The purpose of running llama-server rather than only a command-line model is to enable LLM inference with minimal setup and achieve state-of-the-art performance on a wide range of tasks. The server is lightweight, OpenAI API compatible, and serves LLMs via HTTP. It includes a basic web UI that can be accessed via the browser, and supports multiple users and parallel decoding. The server can also enable speculative decoding. To run llama-server, you need to provide a model file in the GGUF format and specify the port number. The server requires the model to be stored in the GGUF file format. Models in other data formats can be converted to GGUF using the convert_*.py Python scripts in this repo. The Hugging Face platform offers tools for converting, quantizing, and hosting models with llama.cpp.</x:v>
      </x:c>
      <x:c r="N167" s="42" t="n">
        <x:v>5</x:v>
      </x:c>
      <x:c r="O167" s="42" t="n">
        <x:v>5</x:v>
      </x:c>
      <x:c r="P167" s="42" t="n">
        <x:v>5</x:v>
      </x:c>
      <x:c r="Q167" s="42" t="n">
        <x:v>5</x:v>
      </x:c>
      <x:c r="R167" s="42" t="n">
        <x:v>5</x:v>
      </x:c>
      <x:c r="S167" s="42" t="n">
        <x:v>5</x:v>
      </x:c>
      <x:c r="T167" s="50" t="n">
        <x:f>IF(COUNT(N167:S167)=6,AVERAGE(N167:S167),"")</x:f>
        <x:v>5</x:v>
      </x:c>
      <x:c r="U167" s="34" t="str">
        <x:v>AI draft note: Complete explanation of lightweight local HTTP serving, OpenAI compatibility, web UI, and application access.</x:v>
      </x:c>
      <x:c r="V167" s="52" t="str">
        <x:v>AI draft (Codex/GPT); human review required</x:v>
      </x:c>
      <x:c r="W167" s="54" t="str">
        <x:v>2026-06-29</x:v>
      </x:c>
      <x:c r="X167" s="58" t="str">
        <x:v>AI draft - needs human review</x:v>
      </x:c>
    </x:row>
    <x:row r="168" ht="84" customHeight="1">
      <x:c r="A168" s="34" t="str">
        <x:v>T2-Q035-R1</x:v>
      </x:c>
      <x:c r="B168" s="34" t="str">
        <x:v>T2</x:v>
      </x:c>
      <x:c r="C168" s="34" t="str">
        <x:v>Q035</x:v>
      </x:c>
      <x:c r="D168" s="34" t="str">
        <x:v>1</x:v>
      </x:c>
      <x:c r="E168" s="34" t="str">
        <x:v>D4</x:v>
      </x:c>
      <x:c r="F168" s="34" t="str">
        <x:v>ICO AI Data Protection Guidance</x:v>
      </x:c>
      <x:c r="G168" s="34" t="str">
        <x:v>boundary_limitation</x:v>
      </x:c>
      <x:c r="H168" s="34" t="str">
        <x:v>hard</x:v>
      </x:c>
      <x:c r="I168" s="34" t="str">
        <x:v>one_document</x:v>
      </x:c>
      <x:c r="J168" s="34" t="str">
        <x:v>What kinds of local risks remain even if a model does not send data to a cloud API?</x:v>
      </x:c>
      <x:c r="K168" s="34" t="str">
        <x:v>A good answer should mention local storage, logs, vector databases, cached files, model outputs, access control, backups, device compromise, insecure dependencies, and possible privacy attacks or leakage from models. It should not claim local equals fully private.</x:v>
      </x:c>
      <x:c r="L168" s="34" t="str">
        <x:v>D4 ICO security and data minimisation chapter; D4 privacy attacks section</x:v>
      </x:c>
      <x:c r="M168" s="34" t="str">
        <x:v>Even if a model is not sent to a cloud API, there are still some local risks that can occur:
1. **Data Exposure**: If the model is deployed on a local server or device, it may still be possible for unauthorized individuals to access or exploit the model's output, either intentionally or unintentionally.
2. **Local Network Attacks**: A model deployed on a local network can be vulnerable to network attacks, such as man-in-the-middle (MitM) attacks or unauthorized access to the model's output.
3. **Local Malware Attacks**: A model deployed on a local device can be vulnerable to malware attacks, such as keyloggers or other types of malicious software that can steal sensitive information.
4. **Local Privilege Escalation**: A model deployed on a local server or device can be vulnerable to privilege escalation attacks, where an attacker can gain elevated privileges and access sensitive information.
5. **Local Data Storage**: A model deployed on a local server or device can be vulnerable to data storage attacks, where an attacker can steal or manipulate sensitive data.
6. **Local User Account Compromise**: A model deployed on a local server or device can be vulnerable to user account compromise attacks, where an attacker can gain access to a user's account and steal sensitive information.
7. **Local File Inclusion Vulnerabilities**: A model deployed on a local server or device can be vulnerable to file inclusion vulnerabilities, where an attacker can inject malicious code into a local file and execute it.
8. **Local Process Attacks**: A model deployed on a local server or device can be vulnerable to process attacks, where an attacker can create a new process and execute malicious code.
9. **Local Memory Attacks**: A model deployed on a local server or device can be vulnerable to memory attacks, where an attacker can manipulate memory to steal sensitive information.
10. **Local Rootkit Attacks**: A model deployed on a local server or device can be vulnerable to rootkit attacks, where an attacker can hide malicious code from the operating system and other security tools.
These local risks can be mitigated by implementing robust security measures, such as:
* Regularly updating and patching the model's software and operating system
* Implementing access controls and authentication mechanisms
* Monitoring system logs and network traffic
* Using secure coding practices and secure coding tools
* Implementing intrusion detection and prevention systems
* Using secure communication protocols and encryption
It's also essential to collaborate with clients to understand their deployment contexts and associated threat models, and to assess the specific risks associated</x:v>
      </x:c>
      <x:c r="N168" s="42" t="n">
        <x:v>4</x:v>
      </x:c>
      <x:c r="O168" s="42" t="n">
        <x:v>4</x:v>
      </x:c>
      <x:c r="P168" s="42" t="n">
        <x:v>4</x:v>
      </x:c>
      <x:c r="Q168" s="42" t="n">
        <x:v>3</x:v>
      </x:c>
      <x:c r="R168" s="42" t="n">
        <x:v>4</x:v>
      </x:c>
      <x:c r="S168" s="42" t="n">
        <x:v>4</x:v>
      </x:c>
      <x:c r="T168" s="50" t="n">
        <x:f>IF(COUNT(N168:S168)=6,AVERAGE(N168:S168),"")</x:f>
        <x:v>3.8333333333333335</x:v>
      </x:c>
      <x:c r="U168" s="34" t="str">
        <x:v>AI draft note: Identifies local exposure and network threats, but omits several specific storage, vector database, cache, backup, dependency, and output risks.</x:v>
      </x:c>
      <x:c r="V168" s="52" t="str">
        <x:v>AI draft (Codex/GPT); human review required</x:v>
      </x:c>
      <x:c r="W168" s="54" t="str">
        <x:v>2026-06-29</x:v>
      </x:c>
      <x:c r="X168" s="58" t="str">
        <x:v>AI draft - needs human review</x:v>
      </x:c>
    </x:row>
    <x:row r="169" ht="84" customHeight="1">
      <x:c r="A169" s="34" t="str">
        <x:v>R9-Q013-R1</x:v>
      </x:c>
      <x:c r="B169" s="34" t="str">
        <x:v>R9</x:v>
      </x:c>
      <x:c r="C169" s="34" t="str">
        <x:v>Q013</x:v>
      </x:c>
      <x:c r="D169" s="34" t="str">
        <x:v>1</x:v>
      </x:c>
      <x:c r="E169" s="34" t="str">
        <x:v>D2</x:v>
      </x:c>
      <x:c r="F169" s="34" t="str">
        <x:v>llama.cpp README</x:v>
      </x:c>
      <x:c r="G169" s="34" t="str">
        <x:v>fact_retrieval</x:v>
      </x:c>
      <x:c r="H169" s="34" t="str">
        <x:v>easy</x:v>
      </x:c>
      <x:c r="I169" s="34" t="str">
        <x:v>one_document</x:v>
      </x:c>
      <x:c r="J169" s="34" t="str">
        <x:v>What does GGUF enable in local model serving?</x:v>
      </x:c>
      <x:c r="K169" s="34" t="str">
        <x:v>A good answer should say that llama.cpp requires or uses models stored in GGUF format, and that GGUF models can be run locally or converted/quantised into smaller files for llama.cpp use.</x:v>
      </x:c>
      <x:c r="L169" s="34" t="str">
        <x:v>D2 README Obtaining and quantizing models; D2 GGUF references</x:v>
      </x:c>
      <x:c r="M169" s="34" t="str">
        <x:v>GGUF (Google's Format for Universal Files) enables the local serving of models by providing a format that can be easily converted to and from other formats, facilitating easier integration with various systems and environments. This format allows for efficient storage and transfer of model data, making it easier to deploy and use models in different contexts.</x:v>
      </x:c>
      <x:c r="N169" s="42" t="n">
        <x:v>4</x:v>
      </x:c>
      <x:c r="O169" s="42" t="n">
        <x:v>2</x:v>
      </x:c>
      <x:c r="P169" s="42" t="n">
        <x:v>2</x:v>
      </x:c>
      <x:c r="Q169" s="42" t="n">
        <x:v>3</x:v>
      </x:c>
      <x:c r="R169" s="42" t="n">
        <x:v>2</x:v>
      </x:c>
      <x:c r="S169" s="42" t="n">
        <x:v>2</x:v>
      </x:c>
      <x:c r="T169" s="50" t="n">
        <x:f>IF(COUNT(N169:S169)=6,AVERAGE(N169:S169),"")</x:f>
        <x:v>2.5</x:v>
      </x:c>
      <x:c r="U169" s="34" t="str">
        <x:v>AI draft note: Correctly describes a portable local model format and conversion, but incorrectly calls GGUF a Google format and omits quantisation emphasis.</x:v>
      </x:c>
      <x:c r="V169" s="52" t="str">
        <x:v>AI draft (Codex/GPT); human review required</x:v>
      </x:c>
      <x:c r="W169" s="54" t="str">
        <x:v>2026-06-29</x:v>
      </x:c>
      <x:c r="X169" s="58" t="str">
        <x:v>AI draft - needs human review</x:v>
      </x:c>
    </x:row>
    <x:row r="170" ht="84" customHeight="1">
      <x:c r="A170" s="34" t="str">
        <x:v>A7-Q008-R1</x:v>
      </x:c>
      <x:c r="B170" s="34" t="str">
        <x:v>A7</x:v>
      </x:c>
      <x:c r="C170" s="34" t="str">
        <x:v>Q008</x:v>
      </x:c>
      <x:c r="D170" s="34" t="str">
        <x:v>1</x:v>
      </x:c>
      <x:c r="E170" s="34" t="str">
        <x:v>D1</x:v>
      </x:c>
      <x:c r="F170" s="34" t="str">
        <x:v>RAG Paper</x:v>
      </x:c>
      <x:c r="G170" s="34" t="str">
        <x:v>boundary_limitation</x:v>
      </x:c>
      <x:c r="H170" s="34" t="str">
        <x:v>medium</x:v>
      </x:c>
      <x:c r="I170" s="34" t="str">
        <x:v>one_document</x:v>
      </x:c>
      <x:c r="J170" s="34" t="str">
        <x:v>What limitation of large pre-trained models motivates the use of retrieval?</x:v>
      </x:c>
      <x:c r="K170" s="34" t="str">
        <x:v>A good answer should state that large pre-trained models can store knowledge but may struggle to access, manipulate, update, or explain it reliably. They may also hallucinate or fail to provide provenance.</x:v>
      </x:c>
      <x:c r="L170" s="34" t="str">
        <x:v>D1 abstract; D1 Introduction paragraphs 1-2</x:v>
      </x:c>
      <x:c r="M170" s="34" t="str">
        <x:v>The retrieved context suggests that a limitation of large pre-trained models is that they store factual knowledge within their parameters, which can lead to challenges when fine-tuning for specific downstream tasks. Specifically, the context highlights that research has focused on optimizing retrieval modules to aid in tasks like question answering, using search, reinforcement learning, or latent variable approaches. This suggests that these models might struggle with tasks requiring precise, targeted knowledge retrieval.</x:v>
      </x:c>
      <x:c r="N170" s="42" t="n">
        <x:v>3</x:v>
      </x:c>
      <x:c r="O170" s="42" t="n">
        <x:v>2</x:v>
      </x:c>
      <x:c r="P170" s="42" t="n">
        <x:v>2</x:v>
      </x:c>
      <x:c r="Q170" s="42" t="n">
        <x:v>2</x:v>
      </x:c>
      <x:c r="R170" s="42" t="n">
        <x:v>3</x:v>
      </x:c>
      <x:c r="S170" s="42" t="n">
        <x:v>2</x:v>
      </x:c>
      <x:c r="T170" s="50" t="n">
        <x:f>IF(COUNT(N170:S170)=6,AVERAGE(N170:S170),"")</x:f>
        <x:v>2.3333333333333335</x:v>
      </x:c>
      <x:c r="U170" s="34" t="str">
        <x:v>AI draft note: Recognises stored parametric knowledge and retrieval value, but focuses on fine-tuning and omits updates, explanation, provenance, and hallucination.</x:v>
      </x:c>
      <x:c r="V170" s="52" t="str">
        <x:v>AI draft (Codex/GPT); human review required</x:v>
      </x:c>
      <x:c r="W170" s="54" t="str">
        <x:v>2026-06-29</x:v>
      </x:c>
      <x:c r="X170" s="58" t="str">
        <x:v>AI draft - needs human review</x:v>
      </x:c>
    </x:row>
    <x:row r="171" ht="84" customHeight="1">
      <x:c r="A171" s="34" t="str">
        <x:v>F3-Q039-R1</x:v>
      </x:c>
      <x:c r="B171" s="34" t="str">
        <x:v>F3</x:v>
      </x:c>
      <x:c r="C171" s="34" t="str">
        <x:v>Q039</x:v>
      </x:c>
      <x:c r="D171" s="34" t="str">
        <x:v>1</x:v>
      </x:c>
      <x:c r="E171" s="34" t="str">
        <x:v>D2+D4</x:v>
      </x:c>
      <x:c r="F171" s="34" t="str">
        <x:v>llama.cpp README and ICO AI Data Protection Guidance</x:v>
      </x:c>
      <x:c r="G171" s="34" t="str">
        <x:v>source_grounded_synthesis</x:v>
      </x:c>
      <x:c r="H171" s="34" t="str">
        <x:v>hard</x:v>
      </x:c>
      <x:c r="I171" s="34" t="str">
        <x:v>multiple_documents</x:v>
      </x:c>
      <x:c r="J171" s="34" t="str">
        <x:v>How do technical deployment choices connect to privacy and data protection concerns?</x:v>
      </x:c>
      <x:c r="K171" s="34" t="str">
        <x:v>A good answer should connect local runtime, GGUF/quantised models, and local server setup with data protection questions about data flows, security, logs, dependencies, access control, minimisation, and privacy attacks. It should state that technical architecture affects but does not settle privacy.</x:v>
      </x:c>
      <x:c r="L171" s="34" t="str">
        <x:v>D2 README Description/llama-server/GGUF; D4 security and data minimisation; D4 lawfulness/transparency</x:v>
      </x:c>
      <x:c r="M171" s="34" t="str">
        <x:v>Technical deployment choices play a crucial role in the connection between technical deployment and privacy and data protection concerns. These choices significantly influence the security, bias, and transparency of an AI system. For instance, the choice of technical features can promote or reduce privacy, and specific technical features may also promote or reduce bias. These technical features can also present new risks to privacy by allowing inference to identify individuals or previously private information about individuals. Privacy-enhancing technologies (PETs) for AI, as well as data identity, and dignity, are normative and practice-based approaches that address freedom from intrusion, limiting observation, or individuals' agency to consent to disclosure or control of their identities (e.g., body, data, reputation). These norms and practices typically address privacy values such as anonymity, confidentiality, and control. Privacy values such as anonymity, confidentiality, and control should guide choices for AI system design, development, and deployment. Technical deployment choices can also present new risks to privacy by allowing inference to identify individuals or previously private information about individuals.</x:v>
      </x:c>
      <x:c r="N171" s="42" t="n">
        <x:v>4</x:v>
      </x:c>
      <x:c r="O171" s="42" t="n">
        <x:v>3</x:v>
      </x:c>
      <x:c r="P171" s="42" t="n">
        <x:v>3</x:v>
      </x:c>
      <x:c r="Q171" s="42" t="n">
        <x:v>3</x:v>
      </x:c>
      <x:c r="R171" s="42" t="n">
        <x:v>4</x:v>
      </x:c>
      <x:c r="S171" s="42" t="n">
        <x:v>3</x:v>
      </x:c>
      <x:c r="T171" s="50" t="n">
        <x:f>IF(COUNT(N171:S171)=6,AVERAGE(N171:S171),"")</x:f>
        <x:v>3.3333333333333335</x:v>
      </x:c>
      <x:c r="U171" s="34" t="str">
        <x:v>AI draft note: Connects technical features to privacy, security, bias, and transparency but omits concrete local runtime, logging, dependency, access, and minimisation choices.</x:v>
      </x:c>
      <x:c r="V171" s="52" t="str">
        <x:v>AI draft (Codex/GPT); human review required</x:v>
      </x:c>
      <x:c r="W171" s="54" t="str">
        <x:v>2026-06-29</x:v>
      </x:c>
      <x:c r="X171" s="58" t="str">
        <x:v>AI draft - needs human review</x:v>
      </x:c>
    </x:row>
    <x:row r="172" ht="84" customHeight="1">
      <x:c r="A172" s="34" t="str">
        <x:v>F3-Q037-R1</x:v>
      </x:c>
      <x:c r="B172" s="34" t="str">
        <x:v>F3</x:v>
      </x:c>
      <x:c r="C172" s="34" t="str">
        <x:v>Q037</x:v>
      </x:c>
      <x:c r="D172" s="34" t="str">
        <x:v>1</x:v>
      </x:c>
      <x:c r="E172" s="34" t="str">
        <x:v>D4</x:v>
      </x:c>
      <x:c r="F172" s="34" t="str">
        <x:v>ICO AI Data Protection Guidance</x:v>
      </x:c>
      <x:c r="G172" s="34" t="str">
        <x:v>boundary_limitation</x:v>
      </x:c>
      <x:c r="H172" s="34" t="str">
        <x:v>hard</x:v>
      </x:c>
      <x:c r="I172" s="34" t="str">
        <x:v>one_document</x:v>
      </x:c>
      <x:c r="J172" s="34" t="str">
        <x:v>Why does keeping processing local not remove all data protection responsibilities?</x:v>
      </x:c>
      <x:c r="K172" s="34" t="str">
        <x:v>A good answer should explain that data protection obligations apply whenever personal data is processed, regardless of whether processing is local or cloud-based. Local systems still require lawful basis, transparency, security controls, minimisation, retention management, and accountability.</x:v>
      </x:c>
      <x:c r="L172" s="34" t="str">
        <x:v>D4 ICO lawfulness chapter; D4 transparency chapter; D4 security and data minimisation chapter</x:v>
      </x:c>
      <x:c r="M172" s="34" t="str">
        <x:v>Retrieved context: On the users own hardware, recent advances in purpose-built hardware for smartphones and embedded devices mean that this is an increasingly viable option. It is important to note that local processing is not necessarily out of scope of data protection law. Even if the personal data involved in training is being processed on the users device, the organization which creates and distributes the model is still a controller in so far as it determines the means and purposes of processing. Similarly, if
Balancing test). There can be a wide range of interests that constitute legitimate interests in data protection law. These can be your own or those of third parties, as well as commercial or societal interests. However, the key is understanding that while legitimate interests may be more flexible, it comes with additional responsibilities. It requires you to assess the impact of your processing on individuals and be able to demonstrate that there is a compelling benefit to the processing. You should
If the way you intend to use peoples data would be unexpected or cause unnecessary harm. It also means you are taking on additional responsibility for considering and protecting peoples rights and interests. You must also be able to demonstrate the necessity and proportionality of the processing. Additionally, if you are a public authority you can only rely on legitimate interests if you are processing for a legitimate reason other than performing your tasks as a public authority. There are three elements to consider:
  1. The nature of the data involved.
  2. The purpose of the processing.
  3. The impact on individuals.
If the way you intend to use peoples data would be unexpected or cause unnecessary harm, it means you are taking on additional responsibility for considering and protecting peoples rights and interests. You must also be able to demonstrate the necessity and proportionality of the processing. Additionally, if you are a public authority you can only rely on legitimate interests if you are processing for a legitimate reason other than performing your tasks as a public authority.</x:v>
      </x:c>
      <x:c r="N172" s="42" t="n">
        <x:v>4</x:v>
      </x:c>
      <x:c r="O172" s="42" t="n">
        <x:v>4</x:v>
      </x:c>
      <x:c r="P172" s="42" t="n">
        <x:v>4</x:v>
      </x:c>
      <x:c r="Q172" s="42" t="n">
        <x:v>3</x:v>
      </x:c>
      <x:c r="R172" s="42" t="n">
        <x:v>5</x:v>
      </x:c>
      <x:c r="S172" s="42" t="n">
        <x:v>4</x:v>
      </x:c>
      <x:c r="T172" s="50" t="n">
        <x:f>IF(COUNT(N172:S172)=6,AVERAGE(N172:S172),"")</x:f>
        <x:v>4</x:v>
      </x:c>
      <x:c r="U172" s="34" t="str">
        <x:v>AI draft note: Correctly says local processing remains in scope and controller obligations remain, but concrete security, minimisation, retention, and accountability duties are incomplete.</x:v>
      </x:c>
      <x:c r="V172" s="52" t="str">
        <x:v>AI draft (Codex/GPT); human review required</x:v>
      </x:c>
      <x:c r="W172" s="54" t="str">
        <x:v>2026-06-29</x:v>
      </x:c>
      <x:c r="X172" s="58" t="str">
        <x:v>AI draft - needs human review</x:v>
      </x:c>
    </x:row>
    <x:row r="173" ht="84" customHeight="1">
      <x:c r="A173" s="34" t="str">
        <x:v>T2-Q004-R1</x:v>
      </x:c>
      <x:c r="B173" s="34" t="str">
        <x:v>T2</x:v>
      </x:c>
      <x:c r="C173" s="34" t="str">
        <x:v>Q004</x:v>
      </x:c>
      <x:c r="D173" s="34" t="str">
        <x:v>1</x:v>
      </x:c>
      <x:c r="E173" s="34" t="str">
        <x:v>D1</x:v>
      </x:c>
      <x:c r="F173" s="34" t="str">
        <x:v>RAG Paper</x:v>
      </x:c>
      <x:c r="G173" s="34" t="str">
        <x:v>fact_retrieval</x:v>
      </x:c>
      <x:c r="H173" s="34" t="str">
        <x:v>easy</x:v>
      </x:c>
      <x:c r="I173" s="34" t="str">
        <x:v>one_document</x:v>
      </x:c>
      <x:c r="J173" s="34" t="str">
        <x:v>What is the role of the retriever in a RAG pipeline?</x:v>
      </x:c>
      <x:c r="K173" s="34" t="str">
        <x:v>A good answer should say that the retriever takes the input query, searches a document index, and returns top relevant text passages. These passages become context for the generator.</x:v>
      </x:c>
      <x:c r="L173" s="34" t="str">
        <x:v>D1 Methods section 2; D1 Retriever section 2.2</x:v>
      </x:c>
      <x:c r="M173" s="34" t="str">
        <x:v>The role of the retriever in a RAG (Retrieval-Augmented Generator) pipeline is crucial for achieving strong results without expensive, specialized salient span masking pre-training. The retriever is responsible for retrieving relevant information for the task, which is then used to inform the generator's output. In other words, the retriever helps the generator focus on the most relevant information, allowing it to produce high-quality results.
To put it simply, the retriever is like a "filter" that helps the generator "see" the most important information in the data, which is then used to generate an answer. This process is often referred to as "retrieval-based" or "retrieval-Augmented" generation.
In the context of the RAG pipeline, the retriever is used to:
1. Retrieve relevant information from the data
2. Inform the generator's output
3. Help the generator focus on the most important information
By using a retriever, RAGs are able to achieve state-of-the-art performance without relying on expensive, specialized pre-training methods like salient span masking. This makes RAGs a more accessible and effective option for generating high-quality answers.</x:v>
      </x:c>
      <x:c r="N173" s="42" t="n">
        <x:v>4</x:v>
      </x:c>
      <x:c r="O173" s="42" t="n">
        <x:v>3</x:v>
      </x:c>
      <x:c r="P173" s="42" t="n">
        <x:v>3</x:v>
      </x:c>
      <x:c r="Q173" s="42" t="n">
        <x:v>3</x:v>
      </x:c>
      <x:c r="R173" s="42" t="n">
        <x:v>4</x:v>
      </x:c>
      <x:c r="S173" s="42" t="n">
        <x:v>3</x:v>
      </x:c>
      <x:c r="T173" s="50" t="n">
        <x:f>IF(COUNT(N173:S173)=6,AVERAGE(N173:S173),"")</x:f>
        <x:v>3.3333333333333335</x:v>
      </x:c>
      <x:c r="U173" s="34" t="str">
        <x:v>AI draft note: Correctly says the retriever finds relevant information for generation, but does not clearly specify query, document index, top passages, and context.</x:v>
      </x:c>
      <x:c r="V173" s="52" t="str">
        <x:v>AI draft (Codex/GPT); human review required</x:v>
      </x:c>
      <x:c r="W173" s="54" t="str">
        <x:v>2026-06-29</x:v>
      </x:c>
      <x:c r="X173" s="58" t="str">
        <x:v>AI draft - needs human review</x:v>
      </x:c>
    </x:row>
    <x:row r="174" ht="84" customHeight="1">
      <x:c r="A174" s="34" t="str">
        <x:v>R9-Q026-R1</x:v>
      </x:c>
      <x:c r="B174" s="34" t="str">
        <x:v>R9</x:v>
      </x:c>
      <x:c r="C174" s="34" t="str">
        <x:v>Q026</x:v>
      </x:c>
      <x:c r="D174" s="34" t="str">
        <x:v>1</x:v>
      </x:c>
      <x:c r="E174" s="34" t="str">
        <x:v>D3</x:v>
      </x:c>
      <x:c r="F174" s="34" t="str">
        <x:v>NIST AI RMF</x:v>
      </x:c>
      <x:c r="G174" s="34" t="str">
        <x:v>source_grounded_synthesis</x:v>
      </x:c>
      <x:c r="H174" s="34" t="str">
        <x:v>hard</x:v>
      </x:c>
      <x:c r="I174" s="34" t="str">
        <x:v>one_document</x:v>
      </x:c>
      <x:c r="J174" s="34" t="str">
        <x:v>How could the AI RMF support the privacy discussion in this dissertation?</x:v>
      </x:c>
      <x:c r="K174" s="34" t="str">
        <x:v>A good answer should link privacy to trustworthiness and risk management. It should say that privacy-enhanced AI is one trustworthiness characteristic, and that local deployment should still be assessed for risks, controls, and trade-offs.</x:v>
      </x:c>
      <x:c r="L174" s="34" t="str">
        <x:v>D3 AI RMF section 3.6 Privacy-Enhanced; D3 AI RMF Core</x:v>
      </x:c>
      <x:c r="M174" s="34" t="str">
        <x:v>The AI RMF could support the privacy discussion in this dissertation by providing a common language and understanding of AI risks. It would offer taxonomy, terminology, definitions, metrics, and characterizations for AI risk, which could help clarify and standardize the discussion on privacy concerns related to AI technologies. Additionally, the Framework's focus on communication of AI risks across an organization, between organizations, with customers, and to the public at large, could facilitate a broader discussion on privacy issues in the context of AI implementation and use. The clear and plain language used in the AI RMF could also make the privacy discussion more accessible to a wider audience, including non-technical stakeholders, while still being sufficiently technical for practitioners.</x:v>
      </x:c>
      <x:c r="N174" s="42" t="n">
        <x:v>3</x:v>
      </x:c>
      <x:c r="O174" s="42" t="n">
        <x:v>3</x:v>
      </x:c>
      <x:c r="P174" s="42" t="n">
        <x:v>3</x:v>
      </x:c>
      <x:c r="Q174" s="42" t="n">
        <x:v>2</x:v>
      </x:c>
      <x:c r="R174" s="42" t="n">
        <x:v>5</x:v>
      </x:c>
      <x:c r="S174" s="42" t="n">
        <x:v>3</x:v>
      </x:c>
      <x:c r="T174" s="50" t="n">
        <x:f>IF(COUNT(N174:S174)=6,AVERAGE(N174:S174),"")</x:f>
        <x:v>3.1666666666666665</x:v>
      </x:c>
      <x:c r="U174" s="34" t="str">
        <x:v>AI draft note: Useful risk taxonomy and communication framing, but omits privacy-enhanced trustworthiness and local deployment controls and trade-offs.</x:v>
      </x:c>
      <x:c r="V174" s="52" t="str">
        <x:v>AI draft (Codex/GPT); human review required</x:v>
      </x:c>
      <x:c r="W174" s="54" t="str">
        <x:v>2026-06-29</x:v>
      </x:c>
      <x:c r="X174" s="58" t="str">
        <x:v>AI draft - needs human review</x:v>
      </x:c>
    </x:row>
    <x:row r="175" ht="84" customHeight="1">
      <x:c r="A175" s="34" t="str">
        <x:v>M4-Q036-R1</x:v>
      </x:c>
      <x:c r="B175" s="34" t="str">
        <x:v>M4</x:v>
      </x:c>
      <x:c r="C175" s="34" t="str">
        <x:v>Q036</x:v>
      </x:c>
      <x:c r="D175" s="34" t="str">
        <x:v>1</x:v>
      </x:c>
      <x:c r="E175" s="34" t="str">
        <x:v>D4</x:v>
      </x:c>
      <x:c r="F175" s="34" t="str">
        <x:v>ICO AI Data Protection Guidance</x:v>
      </x:c>
      <x:c r="G175" s="34" t="str">
        <x:v>source_grounded_synthesis</x:v>
      </x:c>
      <x:c r="H175" s="34" t="str">
        <x:v>hard</x:v>
      </x:c>
      <x:c r="I175" s="34" t="str">
        <x:v>one_document</x:v>
      </x:c>
      <x:c r="J175" s="34" t="str">
        <x:v>How can local deployment reduce some privacy risks while leaving other data protection responsibilities in place?</x:v>
      </x:c>
      <x:c r="K175" s="34" t="str">
        <x:v>A good answer should say local deployment can reduce transfer of questions or documents to external providers, but responsibilities remain for lawful processing, transparency, security, data minimisation, logging, retention, and access control on the local system.</x:v>
      </x:c>
      <x:c r="L175" s="34" t="str">
        <x:v>D4 ICO transparency; lawfulness; security and data minimisation chapters</x:v>
      </x:c>
      <x:c r="M175" s="34" t="str">
        <x:v>Local deployment can reduce some privacy risks while leaving other data protection responsibilities in place by minimizing the data that is revealed in queries sent to a machine learning model. This allows one party to retrieve a prediction or classification without fully revealing the information to the party running the model. These techniques enable a more controlled and secure data usage scenario, ensuring that the model's predictions are used only for the intended purpose without exposing sensitive personal data.</x:v>
      </x:c>
      <x:c r="N175" s="42" t="n">
        <x:v>3</x:v>
      </x:c>
      <x:c r="O175" s="42" t="n">
        <x:v>2</x:v>
      </x:c>
      <x:c r="P175" s="42" t="n">
        <x:v>2</x:v>
      </x:c>
      <x:c r="Q175" s="42" t="n">
        <x:v>1</x:v>
      </x:c>
      <x:c r="R175" s="42" t="n">
        <x:v>3</x:v>
      </x:c>
      <x:c r="S175" s="42" t="n">
        <x:v>2</x:v>
      </x:c>
      <x:c r="T175" s="50" t="n">
        <x:f>IF(COUNT(N175:S175)=6,AVERAGE(N175:S175),"")</x:f>
        <x:v>2.1666666666666665</x:v>
      </x:c>
      <x:c r="U175" s="34" t="str">
        <x:v>AI draft note: Describes privacy-preserving querying rather than local deployment and omits continuing lawful processing, transparency, security, minimisation, logging, retention, and access duties.</x:v>
      </x:c>
      <x:c r="V175" s="52" t="str">
        <x:v>AI draft (Codex/GPT); human review required</x:v>
      </x:c>
      <x:c r="W175" s="54" t="str">
        <x:v>2026-06-29</x:v>
      </x:c>
      <x:c r="X175" s="58" t="str">
        <x:v>AI draft - needs human review</x:v>
      </x:c>
    </x:row>
    <x:row r="176" ht="84" customHeight="1">
      <x:c r="A176" s="34" t="str">
        <x:v>A7-Q010-R1</x:v>
      </x:c>
      <x:c r="B176" s="34" t="str">
        <x:v>A7</x:v>
      </x:c>
      <x:c r="C176" s="34" t="str">
        <x:v>Q010</x:v>
      </x:c>
      <x:c r="D176" s="34" t="str">
        <x:v>1</x:v>
      </x:c>
      <x:c r="E176" s="34" t="str">
        <x:v>D1</x:v>
      </x:c>
      <x:c r="F176" s="34" t="str">
        <x:v>RAG Paper</x:v>
      </x:c>
      <x:c r="G176" s="34" t="str">
        <x:v>source_grounded_synthesis</x:v>
      </x:c>
      <x:c r="H176" s="34" t="str">
        <x:v>hard</x:v>
      </x:c>
      <x:c r="I176" s="34" t="str">
        <x:v>one_document</x:v>
      </x:c>
      <x:c r="J176" s="34" t="str">
        <x:v>What does RAG add to a standard language generation system?</x:v>
      </x:c>
      <x:c r="K176" s="34" t="str">
        <x:v>A good answer should say that RAG adds an external retrieval component and a document index to a generator. The retriever supplies relevant passages, and the generator uses them with the input to produce a document-grounded output.</x:v>
      </x:c>
      <x:c r="L176" s="34" t="str">
        <x:v>D1 Figure 1; D1 Methods section 2</x:v>
      </x:c>
      <x:c r="M176" s="34" t="str">
        <x:v>RAG adds a key feature to standard language generation systems: it learns to retrieve relevant information for the task. This retrieval mechanism improves the system’s performance significantly, as demonstrated by Ablations where the retriever is frozen during training.  In experiments, RAG models consistently outperform other models, particularly in terms of factual accuracy.  Specifically, RAG models are more accurate than BART in 7.1% of cases, while RAG was more accurate in 42.7% of cases.  Evaluators also find RAG generations to be more specific and factually accurate.</x:v>
      </x:c>
      <x:c r="N176" s="42" t="n">
        <x:v>4</x:v>
      </x:c>
      <x:c r="O176" s="42" t="n">
        <x:v>3</x:v>
      </x:c>
      <x:c r="P176" s="42" t="n">
        <x:v>3</x:v>
      </x:c>
      <x:c r="Q176" s="42" t="n">
        <x:v>3</x:v>
      </x:c>
      <x:c r="R176" s="42" t="n">
        <x:v>4</x:v>
      </x:c>
      <x:c r="S176" s="42" t="n">
        <x:v>3</x:v>
      </x:c>
      <x:c r="T176" s="50" t="n">
        <x:f>IF(COUNT(N176:S176)=6,AVERAGE(N176:S176),"")</x:f>
        <x:v>3.3333333333333335</x:v>
      </x:c>
      <x:c r="U176" s="34" t="str">
        <x:v>AI draft note: Identifies learned retrieval and improved factuality, but does not clearly explain the external index, retrieved passages, and conditioning of the generator.</x:v>
      </x:c>
      <x:c r="V176" s="52" t="str">
        <x:v>AI draft (Codex/GPT); human review required</x:v>
      </x:c>
      <x:c r="W176" s="54" t="str">
        <x:v>2026-06-29</x:v>
      </x:c>
      <x:c r="X176" s="58" t="str">
        <x:v>AI draft - needs human review</x:v>
      </x:c>
    </x:row>
    <x:row r="177" ht="84" customHeight="1">
      <x:c r="A177" s="34" t="str">
        <x:v>R9-Q001-R1</x:v>
      </x:c>
      <x:c r="B177" s="34" t="str">
        <x:v>R9</x:v>
      </x:c>
      <x:c r="C177" s="34" t="str">
        <x:v>Q001</x:v>
      </x:c>
      <x:c r="D177" s="34" t="str">
        <x:v>1</x:v>
      </x:c>
      <x:c r="E177" s="34" t="str">
        <x:v>D1</x:v>
      </x:c>
      <x:c r="F177" s="34" t="str">
        <x:v>RAG Paper</x:v>
      </x:c>
      <x:c r="G177" s="34" t="str">
        <x:v>fact_retrieval</x:v>
      </x:c>
      <x:c r="H177" s="34" t="str">
        <x:v>easy</x:v>
      </x:c>
      <x:c r="I177" s="34" t="str">
        <x:v>one_document</x:v>
      </x:c>
      <x:c r="J177" s="34" t="str">
        <x:v>What problem does retrieval-augmented generation try to address in knowledge-intensive NLP tasks?</x:v>
      </x:c>
      <x:c r="K177" s="34" t="str">
        <x:v>A good answer should say that RAG addresses limitations of parametric-only language models on knowledge-intensive tasks: difficulty accessing precise external knowledge, updating knowledge, giving provenance, and avoiding unsupported generation. It should mention that RAG adds retrieval from an explicit knowledge source to generation.</x:v>
      </x:c>
      <x:c r="L177" s="34" t="str">
        <x:v>D1 abstract; D1 Introduction</x:v>
      </x:c>
      <x:c r="M177" s="34" t="str">
        <x:v>Retrieval-augmented generation aims to address the challenge of generating high-quality responses to complex, knowledge-intensive natural language questions. This approach leverages pre-trained language models to improve downstream NLP tasks by incorporating factual knowledge stored in their parameters. The method combines retrieval with generation to enhance the accuracy and relevance of generated responses, particularly in domains where factual knowledge is crucial for answering questions effectively.</x:v>
      </x:c>
      <x:c r="N177" s="42" t="n">
        <x:v>4</x:v>
      </x:c>
      <x:c r="O177" s="42" t="n">
        <x:v>3</x:v>
      </x:c>
      <x:c r="P177" s="42" t="n">
        <x:v>3</x:v>
      </x:c>
      <x:c r="Q177" s="42" t="n">
        <x:v>3</x:v>
      </x:c>
      <x:c r="R177" s="42" t="n">
        <x:v>4</x:v>
      </x:c>
      <x:c r="S177" s="42" t="n">
        <x:v>3</x:v>
      </x:c>
      <x:c r="T177" s="50" t="n">
        <x:f>IF(COUNT(N177:S177)=6,AVERAGE(N177:S177),"")</x:f>
        <x:v>3.3333333333333335</x:v>
      </x:c>
      <x:c r="U177" s="34" t="str">
        <x:v>AI draft note: Explains combining retrieval and generation for knowledge-intensive questions, but incompletely covers updates, provenance, external precision, and unsupported generation.</x:v>
      </x:c>
      <x:c r="V177" s="52" t="str">
        <x:v>AI draft (Codex/GPT); human review required</x:v>
      </x:c>
      <x:c r="W177" s="54" t="str">
        <x:v>2026-06-29</x:v>
      </x:c>
      <x:c r="X177" s="58" t="str">
        <x:v>AI draft - needs human review</x:v>
      </x:c>
    </x:row>
    <x:row r="178" ht="84" customHeight="1">
      <x:c r="A178" s="34" t="str">
        <x:v>A7-Q027-R1</x:v>
      </x:c>
      <x:c r="B178" s="34" t="str">
        <x:v>A7</x:v>
      </x:c>
      <x:c r="C178" s="34" t="str">
        <x:v>Q027</x:v>
      </x:c>
      <x:c r="D178" s="34" t="str">
        <x:v>1</x:v>
      </x:c>
      <x:c r="E178" s="34" t="str">
        <x:v>D3</x:v>
      </x:c>
      <x:c r="F178" s="34" t="str">
        <x:v>NIST AI RMF</x:v>
      </x:c>
      <x:c r="G178" s="34" t="str">
        <x:v>boundary_limitation</x:v>
      </x:c>
      <x:c r="H178" s="34" t="str">
        <x:v>hard</x:v>
      </x:c>
      <x:c r="I178" s="34" t="str">
        <x:v>one_document</x:v>
      </x:c>
      <x:c r="J178" s="34" t="str">
        <x:v>Why should an AI system be evaluated for limitations as well as capabilities?</x:v>
      </x:c>
      <x:c r="K178" s="34" t="str">
        <x:v>A good answer should explain that risk depends on context, uncertainty, negative impacts, and limitations, not only successful outputs. Evaluating limitations helps avoid overclaiming and supports responsible deployment decisions.</x:v>
      </x:c>
      <x:c r="L178" s="34" t="str">
        <x:v>D3 AI RMF Framing Risk; D3 Challenges for AI Risk Management; D3 Human-AI Interaction appendix</x:v>
      </x:c>
      <x:c r="M178" s="34" t="str">
        <x:v>Okay, here’s a rephrased and expanded answer to your question, drawing on the provided context and adding some general knowledge:
**Why should an AI system be evaluated for limitations as well as capabilities?**
An AI system should be evaluated for limitations and capabilities because it’s crucial to proactively manage potential risks associated with its deployment. The context highlights several key reasons:
*   **Recognizing Human Assumptions:** The text emphasizes that humans often underestimate the capabilities of AI systems. This is a significant risk – we need to understand what *could* go wrong, even if we assume it will work as expected.
*   **Minimizing Harm:** The context stresses that AI systems should perform in ways that minimize potential harm, especially when operating in unexpected or unforeseen situations.  This is a core principle of risk management.
*   **Validation and Monitoring:** The text points out that the validity, accuracy, robustness, and reliability of deployed AI systems are constantly assessed through testing and monitoring. These measurements are vital for confirming the system is performing as intended.
*   **Addressing Failure Modes:**  The context also acknowledges that the validity of a system is often assessed through ongoing testing and monitoring. This helps identify potential failures – even if they aren’t immediately apparent.
Essentially, a comprehensive evaluation goes beyond simply confirming the system *works* – it’s about understanding *how* it works, what its boundaries are, and what potential dangers it might pose in different scenarios.
**In short, it’s about anticipating and mitigating negative impacts before they occur.**
---
**Note:** I've added some general knowledge about risk management and validation to provide a more complete and insightful answer.</x:v>
      </x:c>
      <x:c r="N178" s="42" t="n">
        <x:v>5</x:v>
      </x:c>
      <x:c r="O178" s="42" t="n">
        <x:v>4</x:v>
      </x:c>
      <x:c r="P178" s="42" t="n">
        <x:v>4</x:v>
      </x:c>
      <x:c r="Q178" s="42" t="n">
        <x:v>4</x:v>
      </x:c>
      <x:c r="R178" s="42" t="n">
        <x:v>5</x:v>
      </x:c>
      <x:c r="S178" s="42" t="n">
        <x:v>4</x:v>
      </x:c>
      <x:c r="T178" s="50" t="n">
        <x:f>IF(COUNT(N178:S178)=6,AVERAGE(N178:S178),"")</x:f>
        <x:v>4.333333333333333</x:v>
      </x:c>
      <x:c r="U178" s="34" t="str">
        <x:v>AI draft note: Strong limits, harms, responsible use, and proactive management explanation; context dependence and uncertainty could be more explicit.</x:v>
      </x:c>
      <x:c r="V178" s="52" t="str">
        <x:v>AI draft (Codex/GPT); human review required</x:v>
      </x:c>
      <x:c r="W178" s="54" t="str">
        <x:v>2026-06-29</x:v>
      </x:c>
      <x:c r="X178" s="58" t="str">
        <x:v>AI draft - needs human review</x:v>
      </x:c>
    </x:row>
    <x:row r="179" ht="84" customHeight="1">
      <x:c r="A179" s="34" t="str">
        <x:v>T2-Q007-R1</x:v>
      </x:c>
      <x:c r="B179" s="34" t="str">
        <x:v>T2</x:v>
      </x:c>
      <x:c r="C179" s="34" t="str">
        <x:v>Q007</x:v>
      </x:c>
      <x:c r="D179" s="34" t="str">
        <x:v>1</x:v>
      </x:c>
      <x:c r="E179" s="34" t="str">
        <x:v>D1</x:v>
      </x:c>
      <x:c r="F179" s="34" t="str">
        <x:v>RAG Paper</x:v>
      </x:c>
      <x:c r="G179" s="34" t="str">
        <x:v>fact_retrieval</x:v>
      </x:c>
      <x:c r="H179" s="34" t="str">
        <x:v>easy</x:v>
      </x:c>
      <x:c r="I179" s="34" t="str">
        <x:v>one_document</x:v>
      </x:c>
      <x:c r="J179" s="34" t="str">
        <x:v>According to the paper what kinds of tasks are considered knowledge-intensive?</x:v>
      </x:c>
      <x:c r="K179" s="34" t="str">
        <x:v>A good answer should mention open-domain question answering, abstractive QA, question generation, and fact verification as examples used in the paper. It may also explain that these are tasks where external knowledge is needed.</x:v>
      </x:c>
      <x:c r="L179" s="34" t="str">
        <x:v>D1 Experiments section 3; D1 sections 3.1-3.4</x:v>
      </x:c>
      <x:c r="M179" s="34" t="str">
        <x:v>Based on the retrieved context, the tasks considered knowledge-intensive in the paper are:
1. **Ar-ar-cticating and documenting the system's concept and objectives**: This involves understanding the system's purpose, goals, and assumptions.
2. **Gathering and cleaning data**: This requires collecting and processing data to support the system's functionality.
3. **Documenting the metadata and characteristics of the dataset**: This involves describing and analyzing the dataset to ensure its quality and relevance.
These tasks require a certain level of knowledge and understanding of the system's context, which is considered knowledge-intensive.</x:v>
      </x:c>
      <x:c r="N179" s="42" t="n">
        <x:v>1</x:v>
      </x:c>
      <x:c r="O179" s="42" t="n">
        <x:v>1</x:v>
      </x:c>
      <x:c r="P179" s="42" t="n">
        <x:v>1</x:v>
      </x:c>
      <x:c r="Q179" s="42" t="n">
        <x:v>1</x:v>
      </x:c>
      <x:c r="R179" s="42" t="n">
        <x:v>1</x:v>
      </x:c>
      <x:c r="S179" s="42" t="n">
        <x:v>1</x:v>
      </x:c>
      <x:c r="T179" s="50" t="n">
        <x:f>IF(COUNT(N179:S179)=6,AVERAGE(N179:S179),"")</x:f>
        <x:v>1</x:v>
      </x:c>
      <x:c r="U179" s="34" t="str">
        <x:v>AI draft note: Lists system documentation and data preparation rather than the paper's open-domain QA, abstractive QA, question generation, and fact verification tasks.</x:v>
      </x:c>
      <x:c r="V179" s="52" t="str">
        <x:v>AI draft (Codex/GPT); human review required</x:v>
      </x:c>
      <x:c r="W179" s="54" t="str">
        <x:v>2026-06-29</x:v>
      </x:c>
      <x:c r="X179" s="58" t="str">
        <x:v>AI draft - needs human review</x:v>
      </x:c>
    </x:row>
    <x:row r="180" ht="84" customHeight="1">
      <x:c r="A180" s="34" t="str">
        <x:v>F3-Q028-R1</x:v>
      </x:c>
      <x:c r="B180" s="34" t="str">
        <x:v>F3</x:v>
      </x:c>
      <x:c r="C180" s="34" t="str">
        <x:v>Q028</x:v>
      </x:c>
      <x:c r="D180" s="34" t="str">
        <x:v>1</x:v>
      </x:c>
      <x:c r="E180" s="34" t="str">
        <x:v>D3</x:v>
      </x:c>
      <x:c r="F180" s="34" t="str">
        <x:v>NIST AI RMF</x:v>
      </x:c>
      <x:c r="G180" s="34" t="str">
        <x:v>explanation</x:v>
      </x:c>
      <x:c r="H180" s="34" t="str">
        <x:v>medium</x:v>
      </x:c>
      <x:c r="I180" s="34" t="str">
        <x:v>one_document</x:v>
      </x:c>
      <x:c r="J180" s="34" t="str">
        <x:v>How does risk management help frame deployment practicality?</x:v>
      </x:c>
      <x:c r="K180" s="34" t="str">
        <x:v>A good answer should say that deployment practicality includes managing risks, context, operational controls, monitoring, governance, and acceptable trade-offs. A model that runs is not automatically suitable unless its risks and constraints are manageable.</x:v>
      </x:c>
      <x:c r="L180" s="34" t="str">
        <x:v>D3 AI RMF Executive Summary; D3 Core functions Govern Map Measure Manage</x:v>
      </x:c>
      <x:c r="M180" s="34" t="str">
        <x:v>Risk management helps frame deployment practicality by providing clear guidelines for assessing trustworthiness of each AI system an organization develops or deploys. Policies and resources should be prioritized based on the assessed risk level and potential impact of an AI system. It is also important to consider the extent to which an AI system may be customized or tailored to the specific context of use by the AI deployer.</x:v>
      </x:c>
      <x:c r="N180" s="42" t="n">
        <x:v>5</x:v>
      </x:c>
      <x:c r="O180" s="42" t="n">
        <x:v>4</x:v>
      </x:c>
      <x:c r="P180" s="42" t="n">
        <x:v>4</x:v>
      </x:c>
      <x:c r="Q180" s="42" t="n">
        <x:v>4</x:v>
      </x:c>
      <x:c r="R180" s="42" t="n">
        <x:v>5</x:v>
      </x:c>
      <x:c r="S180" s="42" t="n">
        <x:v>4</x:v>
      </x:c>
      <x:c r="T180" s="50" t="n">
        <x:f>IF(COUNT(N180:S180)=6,AVERAGE(N180:S180),"")</x:f>
        <x:v>4.333333333333333</x:v>
      </x:c>
      <x:c r="U180" s="34" t="str">
        <x:v>AI draft note: Strongly connects trustworthiness, risk level, resource prioritisation, context, and controls to practical deployment; acceptable trade-offs are implicit.</x:v>
      </x:c>
      <x:c r="V180" s="52" t="str">
        <x:v>AI draft (Codex/GPT); human review required</x:v>
      </x:c>
      <x:c r="W180" s="54" t="str">
        <x:v>2026-06-29</x:v>
      </x:c>
      <x:c r="X180" s="58" t="str">
        <x:v>AI draft - needs human review</x:v>
      </x:c>
    </x:row>
    <x:row r="181" ht="84" customHeight="1">
      <x:c r="A181" s="34" t="str">
        <x:v>K8-Q012-R1</x:v>
      </x:c>
      <x:c r="B181" s="34" t="str">
        <x:v>K8</x:v>
      </x:c>
      <x:c r="C181" s="34" t="str">
        <x:v>Q012</x:v>
      </x:c>
      <x:c r="D181" s="34" t="str">
        <x:v>1</x:v>
      </x:c>
      <x:c r="E181" s="34" t="str">
        <x:v>D2</x:v>
      </x:c>
      <x:c r="F181" s="34" t="str">
        <x:v>llama.cpp README</x:v>
      </x:c>
      <x:c r="G181" s="34" t="str">
        <x:v>explanation</x:v>
      </x:c>
      <x:c r="H181" s="34" t="str">
        <x:v>medium</x:v>
      </x:c>
      <x:c r="I181" s="34" t="str">
        <x:v>one_document</x:v>
      </x:c>
      <x:c r="J181" s="34" t="str">
        <x:v>Why is llama.cpp relevant for local or on-device language model deployment?</x:v>
      </x:c>
      <x:c r="K181" s="34" t="str">
        <x:v>A good answer should explain that llama.cpp runs models locally, supports many CPU/GPU backends, works with quantised GGUF models, and exposes tools such as llama-cli and llama-server. This makes it practical for a laptop-based local benchmark.</x:v>
      </x:c>
      <x:c r="L181" s="34" t="str">
        <x:v>D2 README Quick start; D2 Description; D2 hardware/backend bullets</x:v>
      </x:c>
      <x:c r="M181" s="34" t="str">
        <x:v>Llama.cpp is relevant for local or on-device language model deployment because it aims to enable minimal setup and state-of-the-art performance across a wide range of tools. The primary goal of llama.cpp is to facilitate LLM inference with minimal setup and performance on a wide range of downstream consumers. It supports the gpt-oss model with native MXFP4 format and has been integrated with the collaboration with NVIDIA. It also includes a documentation guide for using the new WebUI of llama.cpp and supports collaboration with the gpt-oss model. Additionally, it includes a CLI tool for accessing and experimenting with most of the functionality of llama.cpp. The main focus is to enable LLM inference with minimal setup and state-of-the-art performance on a wide range of downstream consumers.</x:v>
      </x:c>
      <x:c r="N181" s="42" t="n">
        <x:v>4</x:v>
      </x:c>
      <x:c r="O181" s="42" t="n">
        <x:v>4</x:v>
      </x:c>
      <x:c r="P181" s="42" t="n">
        <x:v>4</x:v>
      </x:c>
      <x:c r="Q181" s="42" t="n">
        <x:v>2</x:v>
      </x:c>
      <x:c r="R181" s="42" t="n">
        <x:v>5</x:v>
      </x:c>
      <x:c r="S181" s="42" t="n">
        <x:v>4</x:v>
      </x:c>
      <x:c r="T181" s="50" t="n">
        <x:f>IF(COUNT(N181:S181)=6,AVERAGE(N181:S181),"")</x:f>
        <x:v>3.8333333333333335</x:v>
      </x:c>
      <x:c r="U181" s="34" t="str">
        <x:v>AI draft note: Correct minimal-setup local inference purpose, but omits GGUF quantisation, hardware backends, llama-cli, and llama-server.</x:v>
      </x:c>
      <x:c r="V181" s="52" t="str">
        <x:v>AI draft (Codex/GPT); human review required</x:v>
      </x:c>
      <x:c r="W181" s="54" t="str">
        <x:v>2026-06-29</x:v>
      </x:c>
      <x:c r="X181" s="58" t="str">
        <x:v>AI draft - needs human review</x:v>
      </x:c>
    </x:row>
    <x:row r="182" ht="84" customHeight="1">
      <x:c r="A182" s="34" t="str">
        <x:v>T2-Q001-R1</x:v>
      </x:c>
      <x:c r="B182" s="34" t="str">
        <x:v>T2</x:v>
      </x:c>
      <x:c r="C182" s="34" t="str">
        <x:v>Q001</x:v>
      </x:c>
      <x:c r="D182" s="34" t="str">
        <x:v>1</x:v>
      </x:c>
      <x:c r="E182" s="34" t="str">
        <x:v>D1</x:v>
      </x:c>
      <x:c r="F182" s="34" t="str">
        <x:v>RAG Paper</x:v>
      </x:c>
      <x:c r="G182" s="34" t="str">
        <x:v>fact_retrieval</x:v>
      </x:c>
      <x:c r="H182" s="34" t="str">
        <x:v>easy</x:v>
      </x:c>
      <x:c r="I182" s="34" t="str">
        <x:v>one_document</x:v>
      </x:c>
      <x:c r="J182" s="34" t="str">
        <x:v>What problem does retrieval-augmented generation try to address in knowledge-intensive NLP tasks?</x:v>
      </x:c>
      <x:c r="K182" s="34" t="str">
        <x:v>A good answer should say that RAG addresses limitations of parametric-only language models on knowledge-intensive tasks: difficulty accessing precise external knowledge, updating knowledge, giving provenance, and avoiding unsupported generation. It should mention that RAG adds retrieval from an explicit knowledge source to generation.</x:v>
      </x:c>
      <x:c r="L182" s="34" t="str">
        <x:v>D1 abstract; D1 Introduction</x:v>
      </x:c>
      <x:c r="M182" s="34" t="str">
        <x:v>The problem that retrieval-augmented generation tries to address in knowledge-intensive NLP tasks is to improve the performance of large pre-trained language models by incorporating the retrieved information into their parameters, thereby enhancing their ability to store and utilize factual knowledge.
In other words, retrieval-augmented generation aims to leverage the retrieved data to improve the performance of pre-trained language models in knowledge-intensive NLP tasks, such as question answering, fact checking, and fact completion.</x:v>
      </x:c>
      <x:c r="N182" s="42" t="n">
        <x:v>3</x:v>
      </x:c>
      <x:c r="O182" s="42" t="n">
        <x:v>2</x:v>
      </x:c>
      <x:c r="P182" s="42" t="n">
        <x:v>2</x:v>
      </x:c>
      <x:c r="Q182" s="42" t="n">
        <x:v>2</x:v>
      </x:c>
      <x:c r="R182" s="42" t="n">
        <x:v>2</x:v>
      </x:c>
      <x:c r="S182" s="42" t="n">
        <x:v>2</x:v>
      </x:c>
      <x:c r="T182" s="50" t="n">
        <x:f>IF(COUNT(N182:S182)=6,AVERAGE(N182:S182),"")</x:f>
        <x:v>2.1666666666666665</x:v>
      </x:c>
      <x:c r="U182" s="34" t="str">
        <x:v>AI draft note: Incorrectly suggests retrieved information is incorporated into parameters and incompletely covers external knowledge, updating, provenance, and hallucination.</x:v>
      </x:c>
      <x:c r="V182" s="52" t="str">
        <x:v>AI draft (Codex/GPT); human review required</x:v>
      </x:c>
      <x:c r="W182" s="54" t="str">
        <x:v>2026-06-29</x:v>
      </x:c>
      <x:c r="X182" s="58" t="str">
        <x:v>AI draft - needs human review</x:v>
      </x:c>
    </x:row>
    <x:row r="183" ht="84" customHeight="1">
      <x:c r="A183" s="34" t="str">
        <x:v>T2-Q030-R1</x:v>
      </x:c>
      <x:c r="B183" s="34" t="str">
        <x:v>T2</x:v>
      </x:c>
      <x:c r="C183" s="34" t="str">
        <x:v>Q030</x:v>
      </x:c>
      <x:c r="D183" s="34" t="str">
        <x:v>1</x:v>
      </x:c>
      <x:c r="E183" s="34" t="str">
        <x:v>D4</x:v>
      </x:c>
      <x:c r="F183" s="34" t="str">
        <x:v>ICO AI Data Protection Guidance</x:v>
      </x:c>
      <x:c r="G183" s="34" t="str">
        <x:v>fact_retrieval</x:v>
      </x:c>
      <x:c r="H183" s="34" t="str">
        <x:v>easy</x:v>
      </x:c>
      <x:c r="I183" s="34" t="str">
        <x:v>one_document</x:v>
      </x:c>
      <x:c r="J183" s="34" t="str">
        <x:v>What data protection principles are relevant to AI systems?</x:v>
      </x:c>
      <x:c r="K183" s="34" t="str">
        <x:v>A good answer should mention relevant principles covered by the ICO guidance: accountability and governance, transparency, lawfulness, accuracy, fairness, security, data minimisation, and individual rights.</x:v>
      </x:c>
      <x:c r="L183" s="34" t="str">
        <x:v>D4 ICO guidance contents page</x:v>
      </x:c>
      <x:c r="M183" s="34" t="str">
        <x:v>To assess security and data minimization in AI systems, it's essential to consider the following data protection principles:
1. **Data Minimization Principle**: This principle requires that only the minimum amount of personal data be collected, processed, and stored to achieve the intended purpose of the AI system.
2. **Data Protection by Design and Default**: This principle involves incorporating data protection into the design and development of AI systems from the outset, ensuring that data protection is built-in and considered throughout the development process.
3. **Transparency and Accountability**: This principle requires that AI systems are transparent about how they work, and that there is clear accountability for any harm caused by the system.
4. **Informed Consent**: This principle requires that individuals are informed about how their data will be used and shared, and that they have control over their data.
5. **Right to Erasure**: This principle requires that individuals have the right to request the deletion of their personal data.
6. **Right to Access**: This principle requires that individuals have the right to access their personal data.
7. **Right to Data Portability**: This principle requires that individuals have the right to transfer their personal data to another organization.
8. **Right to Restriction of Processing**: This principle requires that individuals have the right to restrict the processing of their personal data.
9. **Right to Objection**: This principle requires that individuals have the right to object to the processing of their personal data.
10. **Data Security**: This principle requires that AI systems are designed and implemented with adequate security measures to protect personal data.
11. **Data Integrity**: This principle requires that AI systems are designed and implemented with adequate measures to ensure the accuracy and integrity of personal data.
12. **Accountability**: This principle requires that AI systems are designed and implemented with adequate measures to ensure accountability for any harm caused by the system.
13. **Proportionality**: This principle requires that AI systems are designed and implemented in a way that is proportionate to the need for processing personal data.
14. **Enforcement**: This principle requires that AI systems are designed and implemented in a way that is enforceable, with adequate mechanisms in place to ensure compliance with data protection principles.
15. **User Control**: This principle requires that AI systems provide users with control over their personal data, and that users have the ability to opt-out of the processing of their personal data.
By considering these data protection principles, organizations can ensure that their AI systems are designed and implemented in a way that respects the rights and freedoms of</x:v>
      </x:c>
      <x:c r="N183" s="42" t="n">
        <x:v>4</x:v>
      </x:c>
      <x:c r="O183" s="42" t="n">
        <x:v>3</x:v>
      </x:c>
      <x:c r="P183" s="42" t="n">
        <x:v>3</x:v>
      </x:c>
      <x:c r="Q183" s="42" t="n">
        <x:v>3</x:v>
      </x:c>
      <x:c r="R183" s="42" t="n">
        <x:v>4</x:v>
      </x:c>
      <x:c r="S183" s="42" t="n">
        <x:v>3</x:v>
      </x:c>
      <x:c r="T183" s="50" t="n">
        <x:f>IF(COUNT(N183:S183)=6,AVERAGE(N183:S183),"")</x:f>
        <x:v>3.3333333333333335</x:v>
      </x:c>
      <x:c r="U183" s="34" t="str">
        <x:v>AI draft note: Names minimisation and privacy by design, but does not clearly cover the full accountability, transparency, lawfulness, accuracy, fairness, security, and rights set.</x:v>
      </x:c>
      <x:c r="V183" s="52" t="str">
        <x:v>AI draft (Codex/GPT); human review required</x:v>
      </x:c>
      <x:c r="W183" s="54" t="str">
        <x:v>2026-06-29</x:v>
      </x:c>
      <x:c r="X183" s="58" t="str">
        <x:v>AI draft - needs human review</x:v>
      </x:c>
    </x:row>
    <x:row r="184" ht="84" customHeight="1">
      <x:c r="A184" s="34" t="str">
        <x:v>A7-Q005-R1</x:v>
      </x:c>
      <x:c r="B184" s="34" t="str">
        <x:v>A7</x:v>
      </x:c>
      <x:c r="C184" s="34" t="str">
        <x:v>Q005</x:v>
      </x:c>
      <x:c r="D184" s="34" t="str">
        <x:v>1</x:v>
      </x:c>
      <x:c r="E184" s="34" t="str">
        <x:v>D1</x:v>
      </x:c>
      <x:c r="F184" s="34" t="str">
        <x:v>RAG Paper</x:v>
      </x:c>
      <x:c r="G184" s="34" t="str">
        <x:v>explanation</x:v>
      </x:c>
      <x:c r="H184" s="34" t="str">
        <x:v>medium</x:v>
      </x:c>
      <x:c r="I184" s="34" t="str">
        <x:v>one_document</x:v>
      </x:c>
      <x:c r="J184" s="34" t="str">
        <x:v>How can retrieval help a model access knowledge that is not stored in its parameters?</x:v>
      </x:c>
      <x:c r="K184" s="34" t="str">
        <x:v>A good answer should explain that retrieval lets the system look up information from an external index at inference time instead of relying only on memorised model parameters. The external index can also be replaced or updated more easily than model weights.</x:v>
      </x:c>
      <x:c r="L184" s="34" t="str">
        <x:v>D1 Introduction; D1 final paragraph of Introduction</x:v>
      </x:c>
      <x:c r="M184" s="34" t="str">
        <x:v>Retrieval supervision is a technique that allows a model to access knowledge beyond its internal parameters. In this approach, the model uses an external source – called a retriever – to find relevant text documents based on a user’s question. This retrieved information is then used as context when generating the model’s response.  Essentially, the retriever acts as a "memory" that allows the model to access information that isn’t explicitly stored within its own parameters.  This is particularly useful because it enables the model to focus on information that’s more relevant to a specific question, reducing the likelihood of generating incorrect or nonsensical answers.
Here’s a breakdown of how it works:
*   **RAG Models:** These models use RAG to achieve this. They employ two key components: a retriever (which finds relevant documents) and a generator (which uses the retrieved documents to create an answer).
*   **Implicit Knowledge:** The retriever doesn’t need to store the entire knowledge base itself. It simply retrieves relevant text passages based on the input question.
*   **Benefits of Retrieval:** This approach avoids the limitations of models that rely solely on their parameters, which can be limited in scope. It also allows the model to focus on the most pertinent information for a given question.
</x:v>
      </x:c>
      <x:c r="N184" s="42" t="n">
        <x:v>5</x:v>
      </x:c>
      <x:c r="O184" s="42" t="n">
        <x:v>5</x:v>
      </x:c>
      <x:c r="P184" s="42" t="n">
        <x:v>5</x:v>
      </x:c>
      <x:c r="Q184" s="42" t="n">
        <x:v>4</x:v>
      </x:c>
      <x:c r="R184" s="42" t="n">
        <x:v>5</x:v>
      </x:c>
      <x:c r="S184" s="42" t="n">
        <x:v>5</x:v>
      </x:c>
      <x:c r="T184" s="50" t="n">
        <x:f>IF(COUNT(N184:S184)=6,AVERAGE(N184:S184),"")</x:f>
        <x:v>4.833333333333333</x:v>
      </x:c>
      <x:c r="U184" s="34" t="str">
        <x:v>AI draft note: Clearly explains external retrieval, query-specific documents, and generation context; easier index replacement and updating could be more explicit.</x:v>
      </x:c>
      <x:c r="V184" s="52" t="str">
        <x:v>AI draft (Codex/GPT); human review required</x:v>
      </x:c>
      <x:c r="W184" s="54" t="str">
        <x:v>2026-06-29</x:v>
      </x:c>
      <x:c r="X184" s="58" t="str">
        <x:v>AI draft - needs human review</x:v>
      </x:c>
    </x:row>
    <x:row r="185" ht="84" customHeight="1">
      <x:c r="A185" s="34" t="str">
        <x:v>R9-Q035-R1</x:v>
      </x:c>
      <x:c r="B185" s="34" t="str">
        <x:v>R9</x:v>
      </x:c>
      <x:c r="C185" s="34" t="str">
        <x:v>Q035</x:v>
      </x:c>
      <x:c r="D185" s="34" t="str">
        <x:v>1</x:v>
      </x:c>
      <x:c r="E185" s="34" t="str">
        <x:v>D4</x:v>
      </x:c>
      <x:c r="F185" s="34" t="str">
        <x:v>ICO AI Data Protection Guidance</x:v>
      </x:c>
      <x:c r="G185" s="34" t="str">
        <x:v>boundary_limitation</x:v>
      </x:c>
      <x:c r="H185" s="34" t="str">
        <x:v>hard</x:v>
      </x:c>
      <x:c r="I185" s="34" t="str">
        <x:v>one_document</x:v>
      </x:c>
      <x:c r="J185" s="34" t="str">
        <x:v>What kinds of local risks remain even if a model does not send data to a cloud API?</x:v>
      </x:c>
      <x:c r="K185" s="34" t="str">
        <x:v>A good answer should mention local storage, logs, vector databases, cached files, model outputs, access control, backups, device compromise, insecure dependencies, and possible privacy attacks or leakage from models. It should not claim local equals fully private.</x:v>
      </x:c>
      <x:c r="L185" s="34" t="str">
        <x:v>D4 ICO security and data minimisation chapter; D4 privacy attacks section</x:v>
      </x:c>
      <x:c r="M185" s="34" t="str">
        <x:v>Local risks remain even if a model does not send data to a cloud API. These risks include:
1. **White Box Attacks**: The model provider may not be able to monitor the model during deployment, making it harder to assess and mitigate privacy attacks on the model. The provider remains responsible for assessing and mitigating these risks.
2. **Black Box Attacks**: Even if the model is provided via an Application Programming Interface (API), the APIs users do not have direct access to the model itself. This means that the APIs users might still be subjected to black box attacks. To mitigate this risk, the model provider can monitor queries from the APIs users to detect privacy attacks.
3. **Privacy Attacks on Personal Data**: The model provider may not be able to fully assess the risk of personal data used to train the model being exposed as a result of how the model is deployed. This risk is influenced by the particular deployment contexts and associated threat models.
To mitigate these risks, the model provider should collaborate with the clients to understand the deployment contexts and associated threat models. This collaboration is part of the procurement policy, ensuring that sufficient information sharing between each party is performed to address their respective responsibilities.</x:v>
      </x:c>
      <x:c r="N185" s="42" t="n">
        <x:v>4</x:v>
      </x:c>
      <x:c r="O185" s="42" t="n">
        <x:v>4</x:v>
      </x:c>
      <x:c r="P185" s="42" t="n">
        <x:v>4</x:v>
      </x:c>
      <x:c r="Q185" s="42" t="n">
        <x:v>3</x:v>
      </x:c>
      <x:c r="R185" s="42" t="n">
        <x:v>4</x:v>
      </x:c>
      <x:c r="S185" s="42" t="n">
        <x:v>4</x:v>
      </x:c>
      <x:c r="T185" s="50" t="n">
        <x:f>IF(COUNT(N185:S185)=6,AVERAGE(N185:S185),"")</x:f>
        <x:v>3.8333333333333335</x:v>
      </x:c>
      <x:c r="U185" s="34" t="str">
        <x:v>AI draft note: Covers white- and black-box attacks and monitoring but omits many storage, log, vector database, cache, backup, dependency, and access risks.</x:v>
      </x:c>
      <x:c r="V185" s="52" t="str">
        <x:v>AI draft (Codex/GPT); human review required</x:v>
      </x:c>
      <x:c r="W185" s="54" t="str">
        <x:v>2026-06-29</x:v>
      </x:c>
      <x:c r="X185" s="58" t="str">
        <x:v>AI draft - needs human review</x:v>
      </x:c>
    </x:row>
    <x:row r="186" ht="84" customHeight="1">
      <x:c r="A186" s="34" t="str">
        <x:v>F3-Q030-R1</x:v>
      </x:c>
      <x:c r="B186" s="34" t="str">
        <x:v>F3</x:v>
      </x:c>
      <x:c r="C186" s="34" t="str">
        <x:v>Q030</x:v>
      </x:c>
      <x:c r="D186" s="34" t="str">
        <x:v>1</x:v>
      </x:c>
      <x:c r="E186" s="34" t="str">
        <x:v>D4</x:v>
      </x:c>
      <x:c r="F186" s="34" t="str">
        <x:v>ICO AI Data Protection Guidance</x:v>
      </x:c>
      <x:c r="G186" s="34" t="str">
        <x:v>fact_retrieval</x:v>
      </x:c>
      <x:c r="H186" s="34" t="str">
        <x:v>easy</x:v>
      </x:c>
      <x:c r="I186" s="34" t="str">
        <x:v>one_document</x:v>
      </x:c>
      <x:c r="J186" s="34" t="str">
        <x:v>What data protection principles are relevant to AI systems?</x:v>
      </x:c>
      <x:c r="K186" s="34" t="str">
        <x:v>A good answer should mention relevant principles covered by the ICO guidance: accountability and governance, transparency, lawfulness, accuracy, fairness, security, data minimisation, and individual rights.</x:v>
      </x:c>
      <x:c r="L186" s="34" t="str">
        <x:v>D4 ICO guidance contents page</x:v>
      </x:c>
      <x:c r="M186" s="34" t="str">
        <x:v>Data protection principles are relevant to AI systems because they ensure that all functions and individuals responsible for its development, testing, validation, deployment, and monitoring are adequately trained to understand the associated statistical accuracy requirements and measures. This ensures that data is clearly labelled as inferences and predictions, and is not claimed to be factual. Additionally, the guidelines aim to reduce the burden of compliance for organisations and reflect upcoming changes in relation to AI regulation and data protection.</x:v>
      </x:c>
      <x:c r="N186" s="42" t="n">
        <x:v>2</x:v>
      </x:c>
      <x:c r="O186" s="42" t="n">
        <x:v>2</x:v>
      </x:c>
      <x:c r="P186" s="42" t="n">
        <x:v>2</x:v>
      </x:c>
      <x:c r="Q186" s="42" t="n">
        <x:v>1</x:v>
      </x:c>
      <x:c r="R186" s="42" t="n">
        <x:v>4</x:v>
      </x:c>
      <x:c r="S186" s="42" t="n">
        <x:v>2</x:v>
      </x:c>
      <x:c r="T186" s="50" t="n">
        <x:f>IF(COUNT(N186:S186)=6,AVERAGE(N186:S186),"")</x:f>
        <x:v>2.1666666666666665</x:v>
      </x:c>
      <x:c r="U186" s="34" t="str">
        <x:v>AI draft note: Discusses accuracy governance but does not enumerate the requested data-protection principles.</x:v>
      </x:c>
      <x:c r="V186" s="52" t="str">
        <x:v>AI draft (Codex/GPT); human review required</x:v>
      </x:c>
      <x:c r="W186" s="54" t="str">
        <x:v>2026-06-29</x:v>
      </x:c>
      <x:c r="X186" s="58" t="str">
        <x:v>AI draft - needs human review</x:v>
      </x:c>
    </x:row>
    <x:row r="187" ht="84" customHeight="1">
      <x:c r="A187" s="34" t="str">
        <x:v>A7-Q013-R1</x:v>
      </x:c>
      <x:c r="B187" s="34" t="str">
        <x:v>A7</x:v>
      </x:c>
      <x:c r="C187" s="34" t="str">
        <x:v>Q013</x:v>
      </x:c>
      <x:c r="D187" s="34" t="str">
        <x:v>1</x:v>
      </x:c>
      <x:c r="E187" s="34" t="str">
        <x:v>D2</x:v>
      </x:c>
      <x:c r="F187" s="34" t="str">
        <x:v>llama.cpp README</x:v>
      </x:c>
      <x:c r="G187" s="34" t="str">
        <x:v>fact_retrieval</x:v>
      </x:c>
      <x:c r="H187" s="34" t="str">
        <x:v>easy</x:v>
      </x:c>
      <x:c r="I187" s="34" t="str">
        <x:v>one_document</x:v>
      </x:c>
      <x:c r="J187" s="34" t="str">
        <x:v>What does GGUF enable in local model serving?</x:v>
      </x:c>
      <x:c r="K187" s="34" t="str">
        <x:v>A good answer should say that llama.cpp requires or uses models stored in GGUF format, and that GGUF models can be run locally or converted/quantised into smaller files for llama.cpp use.</x:v>
      </x:c>
      <x:c r="L187" s="34" t="str">
        <x:v>D2 README Obtaining and quantizing models; D2 GGUF references</x:v>
      </x:c>
      <x:c r="M187" s="34" t="str">
        <x:v>GGUF enables local model serving by providing a framework for running LLM models with minimal setup and state-of-the-art performance on a wide range of devices. It allows you to use models from Hugging Face or other model hosting sites, by utilizing the `-hf` option to specify the model format.
Here’s a breakdown of what it enables:
*   **Minimal Setup:** It simplifies the process of running LLMs locally, eliminating the need for complex configurations and dependencies.
*   **State-of-the-art Performance:** It’s designed to deliver excellent performance, often approaching that of server-side models.
*   **Model Format Support:** It supports various model formats, including GGUF, which is a popular format for LLM inference.
*   **Local Inference:** It enables you to run models directly on your machine, without relying on cloud services.
Essentially, GGUF allows you to leverage powerful LLMs without the overhead of cloud infrastructure.
</x:v>
      </x:c>
      <x:c r="N187" s="42" t="n">
        <x:v>4</x:v>
      </x:c>
      <x:c r="O187" s="42" t="n">
        <x:v>3</x:v>
      </x:c>
      <x:c r="P187" s="42" t="n">
        <x:v>3</x:v>
      </x:c>
      <x:c r="Q187" s="42" t="n">
        <x:v>3</x:v>
      </x:c>
      <x:c r="R187" s="42" t="n">
        <x:v>3</x:v>
      </x:c>
      <x:c r="S187" s="42" t="n">
        <x:v>3</x:v>
      </x:c>
      <x:c r="T187" s="50" t="n">
        <x:f>IF(COUNT(N187:S187)=6,AVERAGE(N187:S187),"")</x:f>
        <x:v>3.1666666666666665</x:v>
      </x:c>
      <x:c r="U187" s="34" t="str">
        <x:v>AI draft note: Connects model hosting and local execution but confuses Hugging Face flags with GGUF and under-explains conversion and quantisation.</x:v>
      </x:c>
      <x:c r="V187" s="52" t="str">
        <x:v>AI draft (Codex/GPT); human review required</x:v>
      </x:c>
      <x:c r="W187" s="54" t="str">
        <x:v>2026-06-29</x:v>
      </x:c>
      <x:c r="X187" s="58" t="str">
        <x:v>AI draft - needs human review</x:v>
      </x:c>
    </x:row>
    <x:row r="188" ht="84" customHeight="1">
      <x:c r="A188" s="34" t="str">
        <x:v>R9-Q007-R1</x:v>
      </x:c>
      <x:c r="B188" s="34" t="str">
        <x:v>R9</x:v>
      </x:c>
      <x:c r="C188" s="34" t="str">
        <x:v>Q007</x:v>
      </x:c>
      <x:c r="D188" s="34" t="str">
        <x:v>1</x:v>
      </x:c>
      <x:c r="E188" s="34" t="str">
        <x:v>D1</x:v>
      </x:c>
      <x:c r="F188" s="34" t="str">
        <x:v>RAG Paper</x:v>
      </x:c>
      <x:c r="G188" s="34" t="str">
        <x:v>fact_retrieval</x:v>
      </x:c>
      <x:c r="H188" s="34" t="str">
        <x:v>easy</x:v>
      </x:c>
      <x:c r="I188" s="34" t="str">
        <x:v>one_document</x:v>
      </x:c>
      <x:c r="J188" s="34" t="str">
        <x:v>According to the paper what kinds of tasks are considered knowledge-intensive?</x:v>
      </x:c>
      <x:c r="K188" s="34" t="str">
        <x:v>A good answer should mention open-domain question answering, abstractive QA, question generation, and fact verification as examples used in the paper. It may also explain that these are tasks where external knowledge is needed.</x:v>
      </x:c>
      <x:c r="L188" s="34" t="str">
        <x:v>D1 Experiments section 3; D1 sections 3.1-3.4</x:v>
      </x:c>
      <x:c r="M188" s="34" t="str">
        <x:v>According to the paper, tasks that are considered knowledge-intensive include open-domain question answering, fact checking, fact completion, long-form question answering, Wikipedia article generation, dialogue, translation, and language modeling.</x:v>
      </x:c>
      <x:c r="N188" s="42" t="n">
        <x:v>5</x:v>
      </x:c>
      <x:c r="O188" s="42" t="n">
        <x:v>4</x:v>
      </x:c>
      <x:c r="P188" s="42" t="n">
        <x:v>5</x:v>
      </x:c>
      <x:c r="Q188" s="42" t="n">
        <x:v>4</x:v>
      </x:c>
      <x:c r="R188" s="42" t="n">
        <x:v>5</x:v>
      </x:c>
      <x:c r="S188" s="42" t="n">
        <x:v>5</x:v>
      </x:c>
      <x:c r="T188" s="50" t="n">
        <x:f>IF(COUNT(N188:S188)=6,AVERAGE(N188:S188),"")</x:f>
        <x:v>4.666666666666667</x:v>
      </x:c>
      <x:c r="U188" s="34" t="str">
        <x:v>AI draft note: Strong list of relevant knowledge-intensive tasks, though explicit abstractive QA and question generation labels are absent.</x:v>
      </x:c>
      <x:c r="V188" s="52" t="str">
        <x:v>AI draft (Codex/GPT); human review required</x:v>
      </x:c>
      <x:c r="W188" s="54" t="str">
        <x:v>2026-06-29</x:v>
      </x:c>
      <x:c r="X188" s="58" t="str">
        <x:v>AI draft - needs human review</x:v>
      </x:c>
    </x:row>
    <x:row r="189" ht="84" customHeight="1">
      <x:c r="A189" s="34" t="str">
        <x:v>M4-Q021-R1</x:v>
      </x:c>
      <x:c r="B189" s="34" t="str">
        <x:v>M4</x:v>
      </x:c>
      <x:c r="C189" s="34" t="str">
        <x:v>Q021</x:v>
      </x:c>
      <x:c r="D189" s="34" t="str">
        <x:v>1</x:v>
      </x:c>
      <x:c r="E189" s="34" t="str">
        <x:v>D3</x:v>
      </x:c>
      <x:c r="F189" s="34" t="str">
        <x:v>NIST AI RMF</x:v>
      </x:c>
      <x:c r="G189" s="34" t="str">
        <x:v>fact_retrieval</x:v>
      </x:c>
      <x:c r="H189" s="34" t="str">
        <x:v>easy</x:v>
      </x:c>
      <x:c r="I189" s="34" t="str">
        <x:v>one_document</x:v>
      </x:c>
      <x:c r="J189" s="34" t="str">
        <x:v>What is the purpose of the NIST AI Risk Management Framework?</x:v>
      </x:c>
      <x:c r="K189" s="34" t="str">
        <x:v>A good answer should state that the AI RMF is a voluntary framework for managing AI risks and improving the incorporation of trustworthiness considerations into AI design, development, use, and evaluation.</x:v>
      </x:c>
      <x:c r="L189" s="34" t="str">
        <x:v>D3 NIST AI RMF web overview; D3 AI RMF Executive Summary</x:v>
      </x:c>
      <x:c r="M189" s="34" t="str">
        <x:v>The purpose of the NIST AI Risk Management Framework is to minimize potential negative impacts of AI systems, such as threats to civil liberties and rights, while also maximizing positive impacts. It provides a path to effectively address, document, and manage AI risks and potential negative impacts, leading to more trustworthy AI systems. The framework aims to collaboratively develop metrics, methodologies, and goals for evaluating its effectiveness and broadly share results and supporting information. It includes four specific functions: GOVERN, MAP, MEASURE, and MANAGE, which are broken down into categories and subcategories. These functions help organizations address the risks of AI systems in practice.</x:v>
      </x:c>
      <x:c r="N189" s="42" t="n">
        <x:v>5</x:v>
      </x:c>
      <x:c r="O189" s="42" t="n">
        <x:v>5</x:v>
      </x:c>
      <x:c r="P189" s="42" t="n">
        <x:v>5</x:v>
      </x:c>
      <x:c r="Q189" s="42" t="n">
        <x:v>4</x:v>
      </x:c>
      <x:c r="R189" s="42" t="n">
        <x:v>5</x:v>
      </x:c>
      <x:c r="S189" s="42" t="n">
        <x:v>5</x:v>
      </x:c>
      <x:c r="T189" s="50" t="n">
        <x:f>IF(COUNT(N189:S189)=6,AVERAGE(N189:S189),"")</x:f>
        <x:v>4.833333333333333</x:v>
      </x:c>
      <x:c r="U189" s="34" t="str">
        <x:v>AI draft note: Strong explanation of risks, rights, documentation, management, and trustworthiness; voluntary status and lifecycle coverage are the main omissions.</x:v>
      </x:c>
      <x:c r="V189" s="52" t="str">
        <x:v>AI draft (Codex/GPT); human review required</x:v>
      </x:c>
      <x:c r="W189" s="54" t="str">
        <x:v>2026-06-29</x:v>
      </x:c>
      <x:c r="X189" s="58" t="str">
        <x:v>AI draft - needs human review</x:v>
      </x:c>
    </x:row>
    <x:row r="190" ht="84" customHeight="1">
      <x:c r="A190" s="34" t="str">
        <x:v>K8-Q031-R1</x:v>
      </x:c>
      <x:c r="B190" s="34" t="str">
        <x:v>K8</x:v>
      </x:c>
      <x:c r="C190" s="34" t="str">
        <x:v>Q031</x:v>
      </x:c>
      <x:c r="D190" s="34" t="str">
        <x:v>1</x:v>
      </x:c>
      <x:c r="E190" s="34" t="str">
        <x:v>D4</x:v>
      </x:c>
      <x:c r="F190" s="34" t="str">
        <x:v>ICO AI Data Protection Guidance</x:v>
      </x:c>
      <x:c r="G190" s="34" t="str">
        <x:v>explanation</x:v>
      </x:c>
      <x:c r="H190" s="34" t="str">
        <x:v>medium</x:v>
      </x:c>
      <x:c r="I190" s="34" t="str">
        <x:v>one_document</x:v>
      </x:c>
      <x:c r="J190" s="34" t="str">
        <x:v>Why are transparency and explainability important for AI systems that process personal data?</x:v>
      </x:c>
      <x:c r="K190" s="34" t="str">
        <x:v>A good answer should explain that people need clear information about how their personal data is processed, including purposes, retention, and sharing. Transparency helps comply with data protection obligations and supports explainability around AI use.</x:v>
      </x:c>
      <x:c r="L190" s="34" t="str">
        <x:v>D4 ICO transparency chapter</x:v>
      </x:c>
      <x:c r="M190" s="34" t="str">
        <x:v>Transparency and explainability are important for AI systems that process personal data because they help ensure that the AI system is fair, just, and accountable. Transparency allows for people to understand how the AI system makes decisions and what data it uses. Explainability helps people understand the AI system's decisions. If people don't understand how the AI system makes decisions, they may not be able to trust it. Transparency and explainability are important because they help ensure that the AI system is fair, just, and accountable. If the AI system is not transparent and not explainable, people may not be able to understand how it makes decisions and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x:v>
      </x:c>
      <x:c r="N190" s="42" t="n">
        <x:v>4</x:v>
      </x:c>
      <x:c r="O190" s="42" t="n">
        <x:v>4</x:v>
      </x:c>
      <x:c r="P190" s="42" t="n">
        <x:v>4</x:v>
      </x:c>
      <x:c r="Q190" s="42" t="n">
        <x:v>3</x:v>
      </x:c>
      <x:c r="R190" s="42" t="n">
        <x:v>5</x:v>
      </x:c>
      <x:c r="S190" s="42" t="n">
        <x:v>4</x:v>
      </x:c>
      <x:c r="T190" s="50" t="n">
        <x:f>IF(COUNT(N190:S190)=6,AVERAGE(N190:S190),"")</x:f>
        <x:v>4</x:v>
      </x:c>
      <x:c r="U190" s="34" t="str">
        <x:v>AI draft note: Covers understanding, accountability, fairness, and decisions, but purposes, retention, sharing, and specific data-protection notices are incomplete.</x:v>
      </x:c>
      <x:c r="V190" s="52" t="str">
        <x:v>AI draft (Codex/GPT); human review required</x:v>
      </x:c>
      <x:c r="W190" s="54" t="str">
        <x:v>2026-06-29</x:v>
      </x:c>
      <x:c r="X190" s="58" t="str">
        <x:v>AI draft - needs human review</x:v>
      </x:c>
    </x:row>
    <x:row r="191" ht="84" customHeight="1">
      <x:c r="A191" s="34" t="str">
        <x:v>K8-Q003-R1</x:v>
      </x:c>
      <x:c r="B191" s="34" t="str">
        <x:v>K8</x:v>
      </x:c>
      <x:c r="C191" s="34" t="str">
        <x:v>Q003</x:v>
      </x:c>
      <x:c r="D191" s="34" t="str">
        <x:v>1</x:v>
      </x:c>
      <x:c r="E191" s="34" t="str">
        <x:v>D1</x:v>
      </x:c>
      <x:c r="F191" s="34" t="str">
        <x:v>RAG Paper</x:v>
      </x:c>
      <x:c r="G191" s="34" t="str">
        <x:v>explanation</x:v>
      </x:c>
      <x:c r="H191" s="34" t="str">
        <x:v>medium</x:v>
      </x:c>
      <x:c r="I191" s="34" t="str">
        <x:v>one_document</x:v>
      </x:c>
      <x:c r="J191" s="34" t="str">
        <x:v>Why is provenance important in a question-answering system?</x:v>
      </x:c>
      <x:c r="K191" s="34" t="str">
        <x:v>A good answer should connect provenance to knowing where an answer came from. It should explain that retrieved evidence can be inspected, interpreted, or cited, which helps users judge whether the answer is grounded rather than invented.</x:v>
      </x:c>
      <x:c r="L191" s="34" t="str">
        <x:v>D1 abstract; D1 Introduction</x:v>
      </x:c>
      <x:c r="M191" s="34" t="str">
        <x:v>[2] Petr Budič and Jan Edvý. Modeling of the question answering task in the yodaqa system. In International Conference of the Cross-Language Evaluation Forum for European Languages, pages 22228. Springer, 2015. URL https://link.springer.com/chapter/10.1007%2F978-3-319-24027-5_20 . [3] Jonathan Berant, Andrew Chou, Roy Frostig, and Percy Liang. Semantic Parsing on Freebase from Question-Answer Pairs. In Proceedings of the 2013 Conference on Empirical Methods in Natural Language Processing, pages
The context provided suggests that the answer is related to the evaluation of a question-answering system, specifically focusing on the importance of provenance in such a context. The answer is not directly stated but seems to be a summary of the main points discussed in the provided context. 
The context discusses the question "Why is provenance important in a question-answering system?" and provides a response that is not directly stated but seems to be a summary of the main points discussed in the provided context. 
The context suggests that the answer is related to the evaluation of a question-answering system, specifically focusing on the importance of provenance in such a context. The answer is not directly stated but seems to be a summary of the main points discussed in the provided context. 
The context suggests that the answer is related to the evaluation of a question-answering system, specifically focusing on the importance of provenance in such a context. The answer is not directly stated but seems to be a summary of the main points discussed in the provided context.</x:v>
      </x:c>
      <x:c r="N191" s="42" t="n">
        <x:v>0</x:v>
      </x:c>
      <x:c r="O191" s="42" t="n">
        <x:v>0</x:v>
      </x:c>
      <x:c r="P191" s="42" t="n">
        <x:v>0</x:v>
      </x:c>
      <x:c r="Q191" s="42" t="n">
        <x:v>0</x:v>
      </x:c>
      <x:c r="R191" s="42" t="n">
        <x:v>1</x:v>
      </x:c>
      <x:c r="S191" s="42" t="n">
        <x:v>0</x:v>
      </x:c>
      <x:c r="T191" s="50" t="n">
        <x:f>IF(COUNT(N191:S191)=6,AVERAGE(N191:S191),"")</x:f>
        <x:v>0.16666666666666666</x:v>
      </x:c>
      <x:c r="U191" s="34" t="str">
        <x:v>AI draft note: Outputs references and unrelated paper text rather than explaining answer origin, inspectable evidence, citation, or groundedness.</x:v>
      </x:c>
      <x:c r="V191" s="52" t="str">
        <x:v>AI draft (Codex/GPT); human review required</x:v>
      </x:c>
      <x:c r="W191" s="54" t="str">
        <x:v>2026-06-29</x:v>
      </x:c>
      <x:c r="X191" s="58" t="str">
        <x:v>AI draft - needs human review</x:v>
      </x:c>
    </x:row>
    <x:row r="192" ht="84" customHeight="1">
      <x:c r="A192" s="34" t="str">
        <x:v>K8-Q007-R1</x:v>
      </x:c>
      <x:c r="B192" s="34" t="str">
        <x:v>K8</x:v>
      </x:c>
      <x:c r="C192" s="34" t="str">
        <x:v>Q007</x:v>
      </x:c>
      <x:c r="D192" s="34" t="str">
        <x:v>1</x:v>
      </x:c>
      <x:c r="E192" s="34" t="str">
        <x:v>D1</x:v>
      </x:c>
      <x:c r="F192" s="34" t="str">
        <x:v>RAG Paper</x:v>
      </x:c>
      <x:c r="G192" s="34" t="str">
        <x:v>fact_retrieval</x:v>
      </x:c>
      <x:c r="H192" s="34" t="str">
        <x:v>easy</x:v>
      </x:c>
      <x:c r="I192" s="34" t="str">
        <x:v>one_document</x:v>
      </x:c>
      <x:c r="J192" s="34" t="str">
        <x:v>According to the paper what kinds of tasks are considered knowledge-intensive?</x:v>
      </x:c>
      <x:c r="K192" s="34" t="str">
        <x:v>A good answer should mention open-domain question answering, abstractive QA, question generation, and fact verification as examples used in the paper. It may also explain that these are tasks where external knowledge is needed.</x:v>
      </x:c>
      <x:c r="L192" s="34" t="str">
        <x:v>D1 Experiments section 3; D1 sections 3.1-3.4</x:v>
      </x:c>
      <x:c r="M192" s="34" t="str">
        <x:v>Based on the context provided, it seems that the paper is discussing tasks that are considered knowledge-intensive. These tasks include:
1. **Ar-ithmetic and reasoning** - Tasks that involve understanding and manipulating numbers and logical reasoning.
2. **Domain-specific knowledge** - Tasks that require knowledge specific to a particular field or area.
3. **Contextual understanding** - Tasks that involve interpreting and understanding the context of a problem or situation.
4. **Data-driven** - Tasks that rely heavily on data and its analysis.
5. **User-generated content** - Tasks that involve interacting with and understanding user-generated data, such as through dialogue, question answering, or translation.
The paper suggests that these tasks are considered knowledge-intensive because they require a deep understanding of the data and its context, making them challenging and requiring significant knowledge and skill.</x:v>
      </x:c>
      <x:c r="N192" s="42" t="n">
        <x:v>2</x:v>
      </x:c>
      <x:c r="O192" s="42" t="n">
        <x:v>1</x:v>
      </x:c>
      <x:c r="P192" s="42" t="n">
        <x:v>1</x:v>
      </x:c>
      <x:c r="Q192" s="42" t="n">
        <x:v>1</x:v>
      </x:c>
      <x:c r="R192" s="42" t="n">
        <x:v>2</x:v>
      </x:c>
      <x:c r="S192" s="42" t="n">
        <x:v>1</x:v>
      </x:c>
      <x:c r="T192" s="50" t="n">
        <x:f>IF(COUNT(N192:S192)=6,AVERAGE(N192:S192),"")</x:f>
        <x:v>1.3333333333333333</x:v>
      </x:c>
      <x:c r="U192" s="34" t="str">
        <x:v>AI draft note: Invents generic arithmetic and domain tasks instead of the paper's open-domain QA, question generation, and fact-verification examples.</x:v>
      </x:c>
      <x:c r="V192" s="52" t="str">
        <x:v>AI draft (Codex/GPT); human review required</x:v>
      </x:c>
      <x:c r="W192" s="54" t="str">
        <x:v>2026-06-29</x:v>
      </x:c>
      <x:c r="X192" s="58" t="str">
        <x:v>AI draft - needs human review</x:v>
      </x:c>
    </x:row>
    <x:row r="193" ht="84" customHeight="1">
      <x:c r="A193" s="34" t="str">
        <x:v>K8-Q019-R1</x:v>
      </x:c>
      <x:c r="B193" s="34" t="str">
        <x:v>K8</x:v>
      </x:c>
      <x:c r="C193" s="34" t="str">
        <x:v>Q019</x:v>
      </x:c>
      <x:c r="D193" s="34" t="str">
        <x:v>1</x:v>
      </x:c>
      <x:c r="E193" s="34" t="str">
        <x:v>D2</x:v>
      </x:c>
      <x:c r="F193" s="34" t="str">
        <x:v>llama.cpp README</x:v>
      </x:c>
      <x:c r="G193" s="34" t="str">
        <x:v>explanation</x:v>
      </x:c>
      <x:c r="H193" s="34" t="str">
        <x:v>medium</x:v>
      </x:c>
      <x:c r="I193" s="34" t="str">
        <x:v>one_document</x:v>
      </x:c>
      <x:c r="J193" s="34" t="str">
        <x:v>Why might a lightweight runtime matter for a laptop-based dissertation benchmark?</x:v>
      </x:c>
      <x:c r="K193" s="34" t="str">
        <x:v>A good answer should explain that a lightweight runtime with minimal setup and quantisation support makes repeated local experiments feasible on limited laptop hardware. It helps control deployment practicality as part of the benchmark.</x:v>
      </x:c>
      <x:c r="L193" s="34" t="str">
        <x:v>D2 README Quick start; D2 Description</x:v>
      </x:c>
      <x:c r="M193" s="34" t="str">
        <x:v>A lightweight runtime might be important for a laptop-based dissertation benchmark because a laptop is typically less powerful and has less processing power compared to a desktop or server. The benchmark is designed to be run on a laptop, which has less processing power, and a lightweight runtime is necessary to complete the benchmark in a reasonable amount of time.</x:v>
      </x:c>
      <x:c r="N193" s="42" t="n">
        <x:v>5</x:v>
      </x:c>
      <x:c r="O193" s="42" t="n">
        <x:v>4</x:v>
      </x:c>
      <x:c r="P193" s="42" t="n">
        <x:v>4</x:v>
      </x:c>
      <x:c r="Q193" s="42" t="n">
        <x:v>3</x:v>
      </x:c>
      <x:c r="R193" s="42" t="n">
        <x:v>5</x:v>
      </x:c>
      <x:c r="S193" s="42" t="n">
        <x:v>4</x:v>
      </x:c>
      <x:c r="T193" s="50" t="n">
        <x:f>IF(COUNT(N193:S193)=6,AVERAGE(N193:S193),"")</x:f>
        <x:v>4.166666666666667</x:v>
      </x:c>
      <x:c r="U193" s="34" t="str">
        <x:v>AI draft note: Correctly links lightweight execution to laptop compute and feasible duration, but omits quantisation, minimal setup, and repeated experiment control.</x:v>
      </x:c>
      <x:c r="V193" s="52" t="str">
        <x:v>AI draft (Codex/GPT); human review required</x:v>
      </x:c>
      <x:c r="W193" s="54" t="str">
        <x:v>2026-06-29</x:v>
      </x:c>
      <x:c r="X193" s="58" t="str">
        <x:v>AI draft - needs human review</x:v>
      </x:c>
    </x:row>
    <x:row r="194" ht="84" customHeight="1">
      <x:c r="A194" s="34" t="str">
        <x:v>M4-Q012-R1</x:v>
      </x:c>
      <x:c r="B194" s="34" t="str">
        <x:v>M4</x:v>
      </x:c>
      <x:c r="C194" s="34" t="str">
        <x:v>Q012</x:v>
      </x:c>
      <x:c r="D194" s="34" t="str">
        <x:v>1</x:v>
      </x:c>
      <x:c r="E194" s="34" t="str">
        <x:v>D2</x:v>
      </x:c>
      <x:c r="F194" s="34" t="str">
        <x:v>llama.cpp README</x:v>
      </x:c>
      <x:c r="G194" s="34" t="str">
        <x:v>explanation</x:v>
      </x:c>
      <x:c r="H194" s="34" t="str">
        <x:v>medium</x:v>
      </x:c>
      <x:c r="I194" s="34" t="str">
        <x:v>one_document</x:v>
      </x:c>
      <x:c r="J194" s="34" t="str">
        <x:v>Why is llama.cpp relevant for local or on-device language model deployment?</x:v>
      </x:c>
      <x:c r="K194" s="34" t="str">
        <x:v>A good answer should explain that llama.cpp runs models locally, supports many CPU/GPU backends, works with quantised GGUF models, and exposes tools such as llama-cli and llama-server. This makes it practical for a laptop-based local benchmark.</x:v>
      </x:c>
      <x:c r="L194" s="34" t="str">
        <x:v>D2 README Quick start; D2 Description; D2 hardware/backend bullets</x:v>
      </x:c>
      <x:c r="M194" s="34" t="str">
        <x:v>LLama.cpp is relevant for local or on-device language model deployment because it simplifies the setup and provides state-of-the-art performance. It enables inference of large language models with minimal configuration, making it accessible for deployment on local devices or in environments where resources are limited.</x:v>
      </x:c>
      <x:c r="N194" s="42" t="n">
        <x:v>4</x:v>
      </x:c>
      <x:c r="O194" s="42" t="n">
        <x:v>4</x:v>
      </x:c>
      <x:c r="P194" s="42" t="n">
        <x:v>4</x:v>
      </x:c>
      <x:c r="Q194" s="42" t="n">
        <x:v>2</x:v>
      </x:c>
      <x:c r="R194" s="42" t="n">
        <x:v>5</x:v>
      </x:c>
      <x:c r="S194" s="42" t="n">
        <x:v>4</x:v>
      </x:c>
      <x:c r="T194" s="50" t="n">
        <x:f>IF(COUNT(N194:S194)=6,AVERAGE(N194:S194),"")</x:f>
        <x:v>3.8333333333333335</x:v>
      </x:c>
      <x:c r="U194" s="34" t="str">
        <x:v>AI draft note: Correct local minimal-setup inference explanation, but omits backends, quantised GGUF, llama-cli, and llama-server.</x:v>
      </x:c>
      <x:c r="V194" s="52" t="str">
        <x:v>AI draft (Codex/GPT); human review required</x:v>
      </x:c>
      <x:c r="W194" s="54" t="str">
        <x:v>2026-06-29</x:v>
      </x:c>
      <x:c r="X194" s="58" t="str">
        <x:v>AI draft - needs human review</x:v>
      </x:c>
    </x:row>
    <x:row r="195" ht="84" customHeight="1">
      <x:c r="A195" s="34" t="str">
        <x:v>T2-Q028-R1</x:v>
      </x:c>
      <x:c r="B195" s="34" t="str">
        <x:v>T2</x:v>
      </x:c>
      <x:c r="C195" s="34" t="str">
        <x:v>Q028</x:v>
      </x:c>
      <x:c r="D195" s="34" t="str">
        <x:v>1</x:v>
      </x:c>
      <x:c r="E195" s="34" t="str">
        <x:v>D3</x:v>
      </x:c>
      <x:c r="F195" s="34" t="str">
        <x:v>NIST AI RMF</x:v>
      </x:c>
      <x:c r="G195" s="34" t="str">
        <x:v>explanation</x:v>
      </x:c>
      <x:c r="H195" s="34" t="str">
        <x:v>medium</x:v>
      </x:c>
      <x:c r="I195" s="34" t="str">
        <x:v>one_document</x:v>
      </x:c>
      <x:c r="J195" s="34" t="str">
        <x:v>How does risk management help frame deployment practicality?</x:v>
      </x:c>
      <x:c r="K195" s="34" t="str">
        <x:v>A good answer should say that deployment practicality includes managing risks, context, operational controls, monitoring, governance, and acceptable trade-offs. A model that runs is not automatically suitable unless its risks and constraints are manageable.</x:v>
      </x:c>
      <x:c r="L195" s="34" t="str">
        <x:v>D3 AI RMF Executive Summary; D3 Core functions Govern Map Measure Manage</x:v>
      </x:c>
      <x:c r="M195" s="34" t="str">
        <x:v>Risk management plays a crucial role in framing the practicality of AI deployment. By effectively addressing, documenting, and managing AI risks and potential negative impacts, organizations can create a more trustworthy AI system that is feasible to deploy and use.
In simpler terms, risk management helps frame the practicality of AI deployment by:
1. **Assessing and prioritizing risks**: By understanding and addressing AI risks, organizations can prioritize their efforts and allocate resources accordingly. This helps ensure that the most critical risks are addressed first, making the AI system more practical to deploy.
2. **Defining deployment practicality**: Risk management helps define what it means for an AI system to be "practical" or "feasible" to deploy. By considering the potential risks and impacts of an AI system, organizations can determine whether it is indeed practical to deploy, and what steps need to be taken to make it more practical.
3. **Considering customization and tailoring**: The extent to which an AI system is customized or tailored to the specific context of use can significantly impact its practicality. Organizations must consider whether the customization is necessary and whether it will make the AI system more practical to deploy.
4. **Ensuring alignment with organizational needs**: Risk management helps ensure that the AI system aligns with the organization's needs and expectations. By understanding the risks and impacts of the AI system, organizations can determine whether it is practical to deploy and whether it will meet their needs.
By addressing and managing AI risks and potential negative impacts, organizations can create a more practical AI system that is feasible to deploy and use. This, in turn, can lead to more trustworthy AI systems and a more effective use of AI technologies.</x:v>
      </x:c>
      <x:c r="N195" s="42" t="n">
        <x:v>5</x:v>
      </x:c>
      <x:c r="O195" s="42" t="n">
        <x:v>4</x:v>
      </x:c>
      <x:c r="P195" s="42" t="n">
        <x:v>4</x:v>
      </x:c>
      <x:c r="Q195" s="42" t="n">
        <x:v>4</x:v>
      </x:c>
      <x:c r="R195" s="42" t="n">
        <x:v>5</x:v>
      </x:c>
      <x:c r="S195" s="42" t="n">
        <x:v>4</x:v>
      </x:c>
      <x:c r="T195" s="50" t="n">
        <x:f>IF(COUNT(N195:S195)=6,AVERAGE(N195:S195),"")</x:f>
        <x:v>4.333333333333333</x:v>
      </x:c>
      <x:c r="U195" s="34" t="str">
        <x:v>AI draft note: Strongly connects risk identification, prioritisation, controls, trustworthiness, and deployment feasibility; acceptable trade-offs could be more explicit.</x:v>
      </x:c>
      <x:c r="V195" s="52" t="str">
        <x:v>AI draft (Codex/GPT); human review required</x:v>
      </x:c>
      <x:c r="W195" s="54" t="str">
        <x:v>2026-06-29</x:v>
      </x:c>
      <x:c r="X195" s="58" t="str">
        <x:v>AI draft - needs human review</x:v>
      </x:c>
    </x:row>
    <x:row r="196" ht="84" customHeight="1">
      <x:c r="A196" s="34" t="str">
        <x:v>T2-Q019-R1</x:v>
      </x:c>
      <x:c r="B196" s="34" t="str">
        <x:v>T2</x:v>
      </x:c>
      <x:c r="C196" s="34" t="str">
        <x:v>Q019</x:v>
      </x:c>
      <x:c r="D196" s="34" t="str">
        <x:v>1</x:v>
      </x:c>
      <x:c r="E196" s="34" t="str">
        <x:v>D2</x:v>
      </x:c>
      <x:c r="F196" s="34" t="str">
        <x:v>llama.cpp README</x:v>
      </x:c>
      <x:c r="G196" s="34" t="str">
        <x:v>explanation</x:v>
      </x:c>
      <x:c r="H196" s="34" t="str">
        <x:v>medium</x:v>
      </x:c>
      <x:c r="I196" s="34" t="str">
        <x:v>one_document</x:v>
      </x:c>
      <x:c r="J196" s="34" t="str">
        <x:v>Why might a lightweight runtime matter for a laptop-based dissertation benchmark?</x:v>
      </x:c>
      <x:c r="K196" s="34" t="str">
        <x:v>A good answer should explain that a lightweight runtime with minimal setup and quantisation support makes repeated local experiments feasible on limited laptop hardware. It helps control deployment practicality as part of the benchmark.</x:v>
      </x:c>
      <x:c r="L196" s="34" t="str">
        <x:v>D2 README Quick start; D2 Description</x:v>
      </x:c>
      <x:c r="M196" s="34" t="str">
        <x:v>Based on the context, a lightweight runtime might matter for a laptop-based dissertation benchmark because:
1. **Performance**: The benchmark shows that retrieving more documents at test time monotonically improves Open-domain QA results for RAG-Sequence, but performance peaks for RAG-Token at 10 retrieved documents. This suggests that retrieving more documents can significantly impact performance, especially when the number of retrieved documents is high.
2. **Latency**: The benchmark also mentions that retrieving more documents leads to higher Rouge-L for RAG-Token at the expense of Bleu-1, but the effect is less pronounced for RAG-Sequence. This implies that the runtime overhead of retrieving more documents can be significant, especially when the number of retrieved documents is high.
3. **Power Consumption**: The fact that the laptop is laptop-based and might not be able to handle high loads suggests that the runtime might be a concern for power consumption. A lightweight runtime can help reduce power consumption, which is essential for laptops.
4. **Resource Utilization**: The benchmark mentions that the number of retrieved documents is a critical factor in determining the runtime. A lightweight runtime can help optimize resource utilization, ensuring that the laptop can handle the workload without overloading itself.
5. **User Experience**: A lightweight runtime can also impact the user experience. A smooth and responsive runtime can lead to a better user experience, which is essential for a laptop-based dissertation benchmark.
Overall, a lightweight runtime might be necessary to ensure that the laptop-based dissertation benchmark runs smoothly and efficiently, without overloading the system and impacting performance, latency, power consumption, resource utilization, and the user experience.</x:v>
      </x:c>
      <x:c r="N196" s="42" t="n">
        <x:v>2</x:v>
      </x:c>
      <x:c r="O196" s="42" t="n">
        <x:v>2</x:v>
      </x:c>
      <x:c r="P196" s="42" t="n">
        <x:v>2</x:v>
      </x:c>
      <x:c r="Q196" s="42" t="n">
        <x:v>1</x:v>
      </x:c>
      <x:c r="R196" s="42" t="n">
        <x:v>3</x:v>
      </x:c>
      <x:c r="S196" s="42" t="n">
        <x:v>2</x:v>
      </x:c>
      <x:c r="T196" s="50" t="n">
        <x:f>IF(COUNT(N196:S196)=6,AVERAGE(N196:S196),"")</x:f>
        <x:v>2</x:v>
      </x:c>
      <x:c r="U196" s="34" t="str">
        <x:v>AI draft note: Discusses retrieval count and benchmark performance rather than lightweight runtime, setup, quantisation, hardware limits, and repeated local runs.</x:v>
      </x:c>
      <x:c r="V196" s="52" t="str">
        <x:v>AI draft (Codex/GPT); human review required</x:v>
      </x:c>
      <x:c r="W196" s="54" t="str">
        <x:v>2026-06-29</x:v>
      </x:c>
      <x:c r="X196" s="58" t="str">
        <x:v>AI draft - needs human review</x:v>
      </x:c>
    </x:row>
    <x:row r="197" ht="84" customHeight="1">
      <x:c r="A197" s="34" t="str">
        <x:v>T2-Q016-R1</x:v>
      </x:c>
      <x:c r="B197" s="34" t="str">
        <x:v>T2</x:v>
      </x:c>
      <x:c r="C197" s="34" t="str">
        <x:v>Q016</x:v>
      </x:c>
      <x:c r="D197" s="34" t="str">
        <x:v>1</x:v>
      </x:c>
      <x:c r="E197" s="34" t="str">
        <x:v>D2</x:v>
      </x:c>
      <x:c r="F197" s="34" t="str">
        <x:v>llama.cpp README</x:v>
      </x:c>
      <x:c r="G197" s="34" t="str">
        <x:v>explanation</x:v>
      </x:c>
      <x:c r="H197" s="34" t="str">
        <x:v>medium</x:v>
      </x:c>
      <x:c r="I197" s="34" t="str">
        <x:v>one_document</x:v>
      </x:c>
      <x:c r="J197" s="34" t="str">
        <x:v>Why is an OpenAI-compatible endpoint useful for this project?</x:v>
      </x:c>
      <x:c r="K197" s="34" t="str">
        <x:v>A good answer should explain that an OpenAI-compatible chat-completions endpoint lets the FastAPI backend call a local model using a familiar API style, reducing changes needed in the RAG app while avoiding a cloud API call.</x:v>
      </x:c>
      <x:c r="L197" s="34" t="str">
        <x:v>D2 README llama-server section; project architecture context</x:v>
      </x:c>
      <x:c r="M197" s="34" t="str">
        <x:v>The question is: Why is an OpenAI-compatible endpoint useful for this project?
An OpenAI-compatible endpoint is useful for this project because it allows you to use a popular and widely-used AI model, such as the one developed by OpenAI, in your Unity3D game development project. This is particularly important because the project mentions that many organizations cannot afford to develop all software components of an AI system from scratch, and that open-source tools may not be able to provide the same level of support and resources.
Using an OpenAI-compatible endpoint provides several benefits, including:
* Access to a well-established and widely-used AI model
* Easy integration with Unity3D, a popular game development engine
* Ability to leverage the rich ecosystem of contributors and services built up around existing frameworks
* Reduced risk of implementing AI in a project that requires significant resources and time investment
By using an OpenAI-compatible endpoint, the project can focus on developing the game logic and other aspects of the project, while the endpoint handles the AI-related tasks, such as model inference and training. This approach can help to reduce the complexity and risk associated with implementing AI in a project, and can provide a more scalable and maintainable solution.</x:v>
      </x:c>
      <x:c r="N197" s="42" t="n">
        <x:v>1</x:v>
      </x:c>
      <x:c r="O197" s="42" t="n">
        <x:v>1</x:v>
      </x:c>
      <x:c r="P197" s="42" t="n">
        <x:v>1</x:v>
      </x:c>
      <x:c r="Q197" s="42" t="n">
        <x:v>1</x:v>
      </x:c>
      <x:c r="R197" s="42" t="n">
        <x:v>1</x:v>
      </x:c>
      <x:c r="S197" s="42" t="n">
        <x:v>1</x:v>
      </x:c>
      <x:c r="T197" s="50" t="n">
        <x:f>IF(COUNT(N197:S197)=6,AVERAGE(N197:S197),"")</x:f>
        <x:v>1</x:v>
      </x:c>
      <x:c r="U197" s="34" t="str">
        <x:v>AI draft note: Wrongly frames the endpoint as access to an OpenAI model for Unity and misses local API compatibility, backend reuse, and avoided cloud calls.</x:v>
      </x:c>
      <x:c r="V197" s="52" t="str">
        <x:v>AI draft (Codex/GPT); human review required</x:v>
      </x:c>
      <x:c r="W197" s="54" t="str">
        <x:v>2026-06-29</x:v>
      </x:c>
      <x:c r="X197" s="58" t="str">
        <x:v>AI draft - needs human review</x:v>
      </x:c>
    </x:row>
    <x:row r="198" ht="84" customHeight="1">
      <x:c r="A198" s="34" t="str">
        <x:v>R9-Q023-R1</x:v>
      </x:c>
      <x:c r="B198" s="34" t="str">
        <x:v>R9</x:v>
      </x:c>
      <x:c r="C198" s="34" t="str">
        <x:v>Q023</x:v>
      </x:c>
      <x:c r="D198" s="34" t="str">
        <x:v>1</x:v>
      </x:c>
      <x:c r="E198" s="34" t="str">
        <x:v>D3</x:v>
      </x:c>
      <x:c r="F198" s="34" t="str">
        <x:v>NIST AI RMF</x:v>
      </x:c>
      <x:c r="G198" s="34" t="str">
        <x:v>explanation</x:v>
      </x:c>
      <x:c r="H198" s="34" t="str">
        <x:v>medium</x:v>
      </x:c>
      <x:c r="I198" s="34" t="str">
        <x:v>one_document</x:v>
      </x:c>
      <x:c r="J198" s="34" t="str">
        <x:v>What does it mean to consider trustworthiness in AI design and evaluation?</x:v>
      </x:c>
      <x:c r="K198" s="34" t="str">
        <x:v>A good answer should mention that trustworthiness includes more than accuracy: valid and reliable, safe, secure and resilient, accountable and transparent, explainable and interpretable, privacy-enhanced, and fair with harmful bias managed.</x:v>
      </x:c>
      <x:c r="L198" s="34" t="str">
        <x:v>D3 AI RMF section 3; D3 Figure 4 discussion</x:v>
      </x:c>
      <x:c r="M198" s="34" t="str">
        <x:v>Considering trustworthiness in AI design and evaluation involves understanding and addressing the specific metrics related to AI trustworthiness characteristics, as well as the precise threshold values for those metrics. It also involves understanding the role of AI actors within the AI lifecycle and the potential risks that may arise in social contexts. Trustworthiness is a social concept that ranges across a spectrum and is only as strong as its weakest component. Therefore, it is important to consider the context and the specific situation when deciding on the metrics and threshold values for AI trustworthiness.</x:v>
      </x:c>
      <x:c r="N198" s="42" t="n">
        <x:v>4</x:v>
      </x:c>
      <x:c r="O198" s="42" t="n">
        <x:v>3</x:v>
      </x:c>
      <x:c r="P198" s="42" t="n">
        <x:v>4</x:v>
      </x:c>
      <x:c r="Q198" s="42" t="n">
        <x:v>2</x:v>
      </x:c>
      <x:c r="R198" s="42" t="n">
        <x:v>5</x:v>
      </x:c>
      <x:c r="S198" s="42" t="n">
        <x:v>4</x:v>
      </x:c>
      <x:c r="T198" s="50" t="n">
        <x:f>IF(COUNT(N198:S198)=6,AVERAGE(N198:S198),"")</x:f>
        <x:v>3.6666666666666665</x:v>
      </x:c>
      <x:c r="U198" s="34" t="str">
        <x:v>AI draft note: Correctly discusses metrics, thresholds, lifecycle roles, and social context, but omits most named trustworthiness characteristics.</x:v>
      </x:c>
      <x:c r="V198" s="52" t="str">
        <x:v>AI draft (Codex/GPT); human review required</x:v>
      </x:c>
      <x:c r="W198" s="54" t="str">
        <x:v>2026-06-29</x:v>
      </x:c>
      <x:c r="X198" s="58" t="str">
        <x:v>AI draft - needs human review</x:v>
      </x:c>
    </x:row>
    <x:row r="199" ht="84" customHeight="1">
      <x:c r="A199" s="34" t="str">
        <x:v>T2-Q022-R1</x:v>
      </x:c>
      <x:c r="B199" s="34" t="str">
        <x:v>T2</x:v>
      </x:c>
      <x:c r="C199" s="34" t="str">
        <x:v>Q022</x:v>
      </x:c>
      <x:c r="D199" s="34" t="str">
        <x:v>1</x:v>
      </x:c>
      <x:c r="E199" s="34" t="str">
        <x:v>D3</x:v>
      </x:c>
      <x:c r="F199" s="34" t="str">
        <x:v>NIST AI RMF</x:v>
      </x:c>
      <x:c r="G199" s="34" t="str">
        <x:v>explanation</x:v>
      </x:c>
      <x:c r="H199" s="34" t="str">
        <x:v>medium</x:v>
      </x:c>
      <x:c r="I199" s="34" t="str">
        <x:v>one_document</x:v>
      </x:c>
      <x:c r="J199" s="34" t="str">
        <x:v>Why does AI risk management matter when deploying AI systems?</x:v>
      </x:c>
      <x:c r="K199" s="34" t="str">
        <x:v>A good answer should explain that AI systems can create risks for individuals, organisations, society, and the environment. Risk management helps identify, document, reduce, and monitor negative impacts while supporting trustworthy and responsible use.</x:v>
      </x:c>
      <x:c r="L199" s="34" t="str">
        <x:v>D3 AI RMF Executive Summary; D3 Framing Risk section</x:v>
      </x:c>
      <x:c r="M199" s="34" t="str">
        <x:v>AI risk management is crucial when deploying AI systems for several reasons:
1. **Transparency and Trust**: AI systems, by their nature, are opaque and may not provide clear information about their risk metrics or methodologies. This lack of transparency can erode trust between AI actors and their users, stakeholders, or customers. By managing risks, AI developers and deployers can ensure that their systems are transparent and reliable.
2. **Complexity of AI Systems**: AI systems involve complex algorithms, data processing, and decision-making processes. These systems can be prone to errors, biases, or unforeseen consequences, which can lead to unexpected risks. Risk management helps to mitigate these risks and ensures that AI systems are reliable and trustworthy.
3. **Integration with Third-Party Data**: AI systems often rely on external data sources, which can be incomplete, inaccurate, or biased. Without proper risk management, AI systems may not be able to integrate these data sources effectively, leading to potential risks or errors. Effective risk management helps to ensure that AI systems can integrate data sources safely and accurately.
4. **Regulatory and Compliance Requirements**: Many industries, such as healthcare, finance, or government, have strict regulations and compliance requirements that must be adhered to. AI systems that fail to manage risks may not meet these requirements, which can lead to severe consequences, including fines, penalties, or even shutdowns.
5. **Human Safety and Well-being**: AI systems can have unintended consequences that affect human safety and well-being. By managing risks, AI developers and deployers can ensure that their systems are designed and deployed in a way that minimizes harm to humans and the environment.
6. **Reputation and Credibility**: Organizations that prioritize risk management in their AI systems are more likely to maintain a good reputation and credibility with their stakeholders, customers, and the broader public. This can lead to increased trust and loyalty, which are essential for long-term success.
7. **Continuous Improvement**: Risk management is an ongoing process that requires continuous monitoring, evaluation, and improvement. By prioritizing risk management, AI developers and deployers can identify potential risks early on, take proactive steps to mitigate them, and ensure that their systems are always safe and reliable.
In summary, AI risk management is essential when deploying AI systems because it helps to ensure transparency and trust, manage complex systems, integrate with external data sources, comply with regulations and requirements, prioritize human safety and well-being, maintain reputation and credibility, and facilitate continuous improvement.</x:v>
      </x:c>
      <x:c r="N199" s="42" t="n">
        <x:v>4</x:v>
      </x:c>
      <x:c r="O199" s="42" t="n">
        <x:v>4</x:v>
      </x:c>
      <x:c r="P199" s="42" t="n">
        <x:v>4</x:v>
      </x:c>
      <x:c r="Q199" s="42" t="n">
        <x:v>3</x:v>
      </x:c>
      <x:c r="R199" s="42" t="n">
        <x:v>4</x:v>
      </x:c>
      <x:c r="S199" s="42" t="n">
        <x:v>4</x:v>
      </x:c>
      <x:c r="T199" s="50" t="n">
        <x:f>IF(COUNT(N199:S199)=6,AVERAGE(N199:S199),"")</x:f>
        <x:v>3.8333333333333335</x:v>
      </x:c>
      <x:c r="U199" s="34" t="str">
        <x:v>AI draft note: Good explanation of transparency, evolving risk, and continued management, but individual, societal, environmental impacts and documentation are incomplete.</x:v>
      </x:c>
      <x:c r="V199" s="52" t="str">
        <x:v>AI draft (Codex/GPT); human review required</x:v>
      </x:c>
      <x:c r="W199" s="54" t="str">
        <x:v>2026-06-29</x:v>
      </x:c>
      <x:c r="X199" s="58" t="str">
        <x:v>AI draft - needs human review</x:v>
      </x:c>
    </x:row>
    <x:row r="200" ht="84" customHeight="1">
      <x:c r="A200" s="34" t="str">
        <x:v>M4-Q003-R1</x:v>
      </x:c>
      <x:c r="B200" s="34" t="str">
        <x:v>M4</x:v>
      </x:c>
      <x:c r="C200" s="34" t="str">
        <x:v>Q003</x:v>
      </x:c>
      <x:c r="D200" s="34" t="str">
        <x:v>1</x:v>
      </x:c>
      <x:c r="E200" s="34" t="str">
        <x:v>D1</x:v>
      </x:c>
      <x:c r="F200" s="34" t="str">
        <x:v>RAG Paper</x:v>
      </x:c>
      <x:c r="G200" s="34" t="str">
        <x:v>explanation</x:v>
      </x:c>
      <x:c r="H200" s="34" t="str">
        <x:v>medium</x:v>
      </x:c>
      <x:c r="I200" s="34" t="str">
        <x:v>one_document</x:v>
      </x:c>
      <x:c r="J200" s="34" t="str">
        <x:v>Why is provenance important in a question-answering system?</x:v>
      </x:c>
      <x:c r="K200" s="34" t="str">
        <x:v>A good answer should connect provenance to knowing where an answer came from. It should explain that retrieved evidence can be inspected, interpreted, or cited, which helps users judge whether the answer is grounded rather than invented.</x:v>
      </x:c>
      <x:c r="L200" s="34" t="str">
        <x:v>D1 abstract; D1 Introduction</x:v>
      </x:c>
      <x:c r="M200" s="34" t="str">
        <x:v>The question "Why is provenance important in a question-answering system?" is not covered in the provided context.</x:v>
      </x:c>
      <x:c r="N200" s="42" t="n">
        <x:v>1</x:v>
      </x:c>
      <x:c r="O200" s="42" t="n">
        <x:v>2</x:v>
      </x:c>
      <x:c r="P200" s="42" t="n">
        <x:v>5</x:v>
      </x:c>
      <x:c r="Q200" s="42" t="n">
        <x:v>1</x:v>
      </x:c>
      <x:c r="R200" s="42" t="n">
        <x:v>5</x:v>
      </x:c>
      <x:c r="S200" s="42" t="n">
        <x:v>4</x:v>
      </x:c>
      <x:c r="T200" s="50" t="n">
        <x:f>IF(COUNT(N200:S200)=6,AVERAGE(N200:S200),"")</x:f>
        <x:v>3</x:v>
      </x:c>
      <x:c r="U200" s="34" t="str">
        <x:v>AI draft note: Faithfully refuses because context is insufficient, but does not answer the expected provenance concept and is incomplete.</x:v>
      </x:c>
      <x:c r="V200" s="52" t="str">
        <x:v>AI draft (Codex/GPT); human review required</x:v>
      </x:c>
      <x:c r="W200" s="54" t="str">
        <x:v>2026-06-29</x:v>
      </x:c>
      <x:c r="X200" s="58" t="str">
        <x:v>AI draft - needs human review</x:v>
      </x:c>
    </x:row>
    <x:row r="201" ht="84" customHeight="1">
      <x:c r="A201" s="34" t="str">
        <x:v>M4-Q014-R1</x:v>
      </x:c>
      <x:c r="B201" s="34" t="str">
        <x:v>M4</x:v>
      </x:c>
      <x:c r="C201" s="34" t="str">
        <x:v>Q014</x:v>
      </x:c>
      <x:c r="D201" s="34" t="str">
        <x:v>1</x:v>
      </x:c>
      <x:c r="E201" s="34" t="str">
        <x:v>D2</x:v>
      </x:c>
      <x:c r="F201" s="34" t="str">
        <x:v>llama.cpp README</x:v>
      </x:c>
      <x:c r="G201" s="34" t="str">
        <x:v>explanation</x:v>
      </x:c>
      <x:c r="H201" s="34" t="str">
        <x:v>medium</x:v>
      </x:c>
      <x:c r="I201" s="34" t="str">
        <x:v>one_document</x:v>
      </x:c>
      <x:c r="J201" s="34" t="str">
        <x:v>How does quantisation support faster inference or lower memory use?</x:v>
      </x:c>
      <x:c r="K201" s="34" t="str">
        <x:v>A good answer should explain that quantisation stores model weights with fewer bits, such as 4-bit or 8-bit integers, reducing memory use and often improving inference speed. It should also note that quality may change, so it must be benchmarked.</x:v>
      </x:c>
      <x:c r="L201" s="34" t="str">
        <x:v>D2 README Description quantisation bullet; D2 quantisation documentation reference</x:v>
      </x:c>
      <x:c r="M201" s="34" t="str">
        <x:v>Quantization supports faster inference and reduced memory use by compressing the range of values that an integer can take. For example, a 1.5-bit quantization means that the integer can only take values between -4 and 4, whereas a 3-bit quantization allows values between -8 and 8. This reduces the amount of memory needed to store the integer values and speeds up the inference process because fewer bits are required to represent the values.</x:v>
      </x:c>
      <x:c r="N201" s="42" t="n">
        <x:v>5</x:v>
      </x:c>
      <x:c r="O201" s="42" t="n">
        <x:v>3</x:v>
      </x:c>
      <x:c r="P201" s="42" t="n">
        <x:v>3</x:v>
      </x:c>
      <x:c r="Q201" s="42" t="n">
        <x:v>3</x:v>
      </x:c>
      <x:c r="R201" s="42" t="n">
        <x:v>2</x:v>
      </x:c>
      <x:c r="S201" s="42" t="n">
        <x:v>3</x:v>
      </x:c>
      <x:c r="T201" s="50" t="n">
        <x:f>IF(COUNT(N201:S201)=6,AVERAGE(N201:S201),"")</x:f>
        <x:v>3.1666666666666665</x:v>
      </x:c>
      <x:c r="U201" s="34" t="str">
        <x:v>AI draft note: Correct mechanism of fewer bits, lower storage, and faster arithmetic, but gives questionable numeric ranges and omits quality trade-offs.</x:v>
      </x:c>
      <x:c r="V201" s="52" t="str">
        <x:v>AI draft (Codex/GPT); human review required</x:v>
      </x:c>
      <x:c r="W201" s="54" t="str">
        <x:v>2026-06-29</x:v>
      </x:c>
      <x:c r="X201" s="58" t="str">
        <x:v>AI draft - needs human review</x:v>
      </x:c>
    </x:row>
    <x:row r="202" ht="84" customHeight="1">
      <x:c r="A202" s="34" t="str">
        <x:v>M4-Q017-R1</x:v>
      </x:c>
      <x:c r="B202" s="34" t="str">
        <x:v>M4</x:v>
      </x:c>
      <x:c r="C202" s="34" t="str">
        <x:v>Q017</x:v>
      </x:c>
      <x:c r="D202" s="34" t="str">
        <x:v>1</x:v>
      </x:c>
      <x:c r="E202" s="34" t="str">
        <x:v>D2</x:v>
      </x:c>
      <x:c r="F202" s="34" t="str">
        <x:v>llama.cpp README</x:v>
      </x:c>
      <x:c r="G202" s="34" t="str">
        <x:v>fact_retrieval</x:v>
      </x:c>
      <x:c r="H202" s="34" t="str">
        <x:v>medium</x:v>
      </x:c>
      <x:c r="I202" s="34" t="str">
        <x:v>one_document</x:v>
      </x:c>
      <x:c r="J202" s="34" t="str">
        <x:v>What hardware or backend options are described as relevant to llama.cpp deployment?</x:v>
      </x:c>
      <x:c r="K202" s="34" t="str">
        <x:v>A good answer should mention at least several of the supported hardware/backend options such as x86 CPU instruction sets, Apple silicon, CUDA, HIP, Vulkan, SYCL, and CPU+GPU hybrid inference.</x:v>
      </x:c>
      <x:c r="L202" s="34" t="str">
        <x:v>D2 README Description hardware/backend bullets</x:v>
      </x:c>
      <x:c r="M202" s="34" t="str">
        <x:v>The hardware or backend options described as relevant to llama.cpp deployment include:
- Vulkan
- CANN (Chiplet Accelerated Neural Network)
- OpenCL
- IBM zDNN
- WebGPU
- VirtGPU
- Snapdragon
- VirtGPU APIR
- Hexagon (In Progress)
- IBM Z &amp; LinuxONE
These options are mentioned in the context as potential hardware or backend configurations that can be used with llama.cpp.</x:v>
      </x:c>
      <x:c r="N202" s="42" t="n">
        <x:v>4</x:v>
      </x:c>
      <x:c r="O202" s="42" t="n">
        <x:v>3</x:v>
      </x:c>
      <x:c r="P202" s="42" t="n">
        <x:v>3</x:v>
      </x:c>
      <x:c r="Q202" s="42" t="n">
        <x:v>3</x:v>
      </x:c>
      <x:c r="R202" s="42" t="n">
        <x:v>2</x:v>
      </x:c>
      <x:c r="S202" s="42" t="n">
        <x:v>3</x:v>
      </x:c>
      <x:c r="T202" s="50" t="n">
        <x:f>IF(COUNT(N202:S202)=6,AVERAGE(N202:S202),"")</x:f>
        <x:v>3</x:v>
      </x:c>
      <x:c r="U202" s="34" t="str">
        <x:v>AI draft note: Lists multiple real and developing backends, but omits principal x86, Apple, CUDA, HIP, SYCL, and hybrid options and mislabels some.</x:v>
      </x:c>
      <x:c r="V202" s="52" t="str">
        <x:v>AI draft (Codex/GPT); human review required</x:v>
      </x:c>
      <x:c r="W202" s="54" t="str">
        <x:v>2026-06-29</x:v>
      </x:c>
      <x:c r="X202" s="58" t="str">
        <x:v>AI draft - needs human review</x:v>
      </x:c>
    </x:row>
    <x:row r="203" ht="84" customHeight="1">
      <x:c r="A203" s="34" t="str">
        <x:v>R9-Q039-R1</x:v>
      </x:c>
      <x:c r="B203" s="34" t="str">
        <x:v>R9</x:v>
      </x:c>
      <x:c r="C203" s="34" t="str">
        <x:v>Q039</x:v>
      </x:c>
      <x:c r="D203" s="34" t="str">
        <x:v>1</x:v>
      </x:c>
      <x:c r="E203" s="34" t="str">
        <x:v>D2+D4</x:v>
      </x:c>
      <x:c r="F203" s="34" t="str">
        <x:v>llama.cpp README and ICO AI Data Protection Guidance</x:v>
      </x:c>
      <x:c r="G203" s="34" t="str">
        <x:v>source_grounded_synthesis</x:v>
      </x:c>
      <x:c r="H203" s="34" t="str">
        <x:v>hard</x:v>
      </x:c>
      <x:c r="I203" s="34" t="str">
        <x:v>multiple_documents</x:v>
      </x:c>
      <x:c r="J203" s="34" t="str">
        <x:v>How do technical deployment choices connect to privacy and data protection concerns?</x:v>
      </x:c>
      <x:c r="K203" s="34" t="str">
        <x:v>A good answer should connect local runtime, GGUF/quantised models, and local server setup with data protection questions about data flows, security, logs, dependencies, access control, minimisation, and privacy attacks. It should state that technical architecture affects but does not settle privacy.</x:v>
      </x:c>
      <x:c r="L203" s="34" t="str">
        <x:v>D2 README Description/llama-server/GGUF; D4 security and data minimisation; D4 lawfulness/transparency</x:v>
      </x:c>
      <x:c r="M203" s="34" t="str">
        <x:v>Technical deployment choices in AI systems can significantly impact privacy and data protection concerns. These choices can influence the security, bias, and transparency of the system, and come with tradeoffs in these characteristics. Specific technical features of an AI system can both promote and reduce privacy risks. AI systems can also introduce new privacy risks by allowing inference to identify individuals or previously private information about individuals. Privacy-enhancing technologies (PETs) for AI, such as data anonymization and encryption, are crucial for protecting privacy. Additionally, the norms and practices that address freedom from intrusion, limiting observation, and individuals' agency to consent to disclosure or control of their identities (e.g., body, data, reputation) are essential in maintaining privacy values like anonymity, confidentiality, and control. These norms and practices should guide the design, development, and deployment of AI systems. While technical deployment choices can mitigate privacy risks, it is important to assess and mitigate the risk that personal data used to train models may be exposed as a result of how clients have deployed the model. This requires collaboration with clients to understand the particular deployment contexts and associated threat models. In procurement policies, sufficient information sharing between parties is necessary to perform their respective responsibilities effectively.</x:v>
      </x:c>
      <x:c r="N203" s="42" t="n">
        <x:v>4</x:v>
      </x:c>
      <x:c r="O203" s="42" t="n">
        <x:v>3</x:v>
      </x:c>
      <x:c r="P203" s="42" t="n">
        <x:v>3</x:v>
      </x:c>
      <x:c r="Q203" s="42" t="n">
        <x:v>3</x:v>
      </x:c>
      <x:c r="R203" s="42" t="n">
        <x:v>4</x:v>
      </x:c>
      <x:c r="S203" s="42" t="n">
        <x:v>3</x:v>
      </x:c>
      <x:c r="T203" s="50" t="n">
        <x:f>IF(COUNT(N203:S203)=6,AVERAGE(N203:S203),"")</x:f>
        <x:v>3.3333333333333335</x:v>
      </x:c>
      <x:c r="U203" s="34" t="str">
        <x:v>AI draft note: Connects technical choices to privacy, security, bias, transparency, and inference risks, but omits concrete local logs, data flows, dependencies, and controls.</x:v>
      </x:c>
      <x:c r="V203" s="52" t="str">
        <x:v>AI draft (Codex/GPT); human review required</x:v>
      </x:c>
      <x:c r="W203" s="54" t="str">
        <x:v>2026-06-29</x:v>
      </x:c>
      <x:c r="X203" s="58" t="str">
        <x:v>AI draft - needs human review</x:v>
      </x:c>
    </x:row>
    <x:row r="204" ht="84" customHeight="1">
      <x:c r="A204" s="34" t="str">
        <x:v>M4-Q007-R1</x:v>
      </x:c>
      <x:c r="B204" s="34" t="str">
        <x:v>M4</x:v>
      </x:c>
      <x:c r="C204" s="34" t="str">
        <x:v>Q007</x:v>
      </x:c>
      <x:c r="D204" s="34" t="str">
        <x:v>1</x:v>
      </x:c>
      <x:c r="E204" s="34" t="str">
        <x:v>D1</x:v>
      </x:c>
      <x:c r="F204" s="34" t="str">
        <x:v>RAG Paper</x:v>
      </x:c>
      <x:c r="G204" s="34" t="str">
        <x:v>fact_retrieval</x:v>
      </x:c>
      <x:c r="H204" s="34" t="str">
        <x:v>easy</x:v>
      </x:c>
      <x:c r="I204" s="34" t="str">
        <x:v>one_document</x:v>
      </x:c>
      <x:c r="J204" s="34" t="str">
        <x:v>According to the paper what kinds of tasks are considered knowledge-intensive?</x:v>
      </x:c>
      <x:c r="K204" s="34" t="str">
        <x:v>A good answer should mention open-domain question answering, abstractive QA, question generation, and fact verification as examples used in the paper. It may also explain that these are tasks where external knowledge is needed.</x:v>
      </x:c>
      <x:c r="L204" s="34" t="str">
        <x:v>D1 Experiments section 3; D1 sections 3.1-3.4</x:v>
      </x:c>
      <x:c r="M204" s="34" t="str">
        <x:v>According to the paper, tasks that are considered knowledge-intensive include open-domain question answering, fact checking, fact completion, long-form question answering, Wikipedia article generation, dialogue, translation, and language modeling.</x:v>
      </x:c>
      <x:c r="N204" s="42" t="n">
        <x:v>5</x:v>
      </x:c>
      <x:c r="O204" s="42" t="n">
        <x:v>4</x:v>
      </x:c>
      <x:c r="P204" s="42" t="n">
        <x:v>5</x:v>
      </x:c>
      <x:c r="Q204" s="42" t="n">
        <x:v>4</x:v>
      </x:c>
      <x:c r="R204" s="42" t="n">
        <x:v>5</x:v>
      </x:c>
      <x:c r="S204" s="42" t="n">
        <x:v>5</x:v>
      </x:c>
      <x:c r="T204" s="50" t="n">
        <x:f>IF(COUNT(N204:S204)=6,AVERAGE(N204:S204),"")</x:f>
        <x:v>4.666666666666667</x:v>
      </x:c>
      <x:c r="U204" s="34" t="str">
        <x:v>AI draft note: Strong task list including QA and fact checking; explicit question generation and abstractive QA terminology are omitted.</x:v>
      </x:c>
      <x:c r="V204" s="52" t="str">
        <x:v>AI draft (Codex/GPT); human review required</x:v>
      </x:c>
      <x:c r="W204" s="54" t="str">
        <x:v>2026-06-29</x:v>
      </x:c>
      <x:c r="X204" s="58" t="str">
        <x:v>AI draft - needs human review</x:v>
      </x:c>
    </x:row>
    <x:row r="205" ht="84" customHeight="1">
      <x:c r="A205" s="34" t="str">
        <x:v>K8-Q001-R1</x:v>
      </x:c>
      <x:c r="B205" s="34" t="str">
        <x:v>K8</x:v>
      </x:c>
      <x:c r="C205" s="34" t="str">
        <x:v>Q001</x:v>
      </x:c>
      <x:c r="D205" s="34" t="str">
        <x:v>1</x:v>
      </x:c>
      <x:c r="E205" s="34" t="str">
        <x:v>D1</x:v>
      </x:c>
      <x:c r="F205" s="34" t="str">
        <x:v>RAG Paper</x:v>
      </x:c>
      <x:c r="G205" s="34" t="str">
        <x:v>fact_retrieval</x:v>
      </x:c>
      <x:c r="H205" s="34" t="str">
        <x:v>easy</x:v>
      </x:c>
      <x:c r="I205" s="34" t="str">
        <x:v>one_document</x:v>
      </x:c>
      <x:c r="J205" s="34" t="str">
        <x:v>What problem does retrieval-augmented generation try to address in knowledge-intensive NLP tasks?</x:v>
      </x:c>
      <x:c r="K205" s="34" t="str">
        <x:v>A good answer should say that RAG addresses limitations of parametric-only language models on knowledge-intensive tasks: difficulty accessing precise external knowledge, updating knowledge, giving provenance, and avoiding unsupported generation. It should mention that RAG adds retrieval from an explicit knowledge source to generation.</x:v>
      </x:c>
      <x:c r="L205" s="34" t="str">
        <x:v>D1 abstract; D1 Introduction</x:v>
      </x:c>
      <x:c r="M205" s="34" t="str">
        <x:v>    The problem that retrieval-augmented generation is trying to address in knowledge-intensive NLP tasks is the improvement of performance across a variety of NLP tasks when retrieval is considered in isolation. This includes tasks such as open-domain question answering, fact checking, fact completion, long-form question answering, Wikipedia article generation, dialogue, translation, and language modeling. The main focus is on the Open-domain QA and Open-MSMarco and Jeopardy question generation, with the implementation details reported using the Bleu-1 and Rouge-L as performance metrics. The retrieval is described as being more thorough and the answers are generally shorter. The implementation of greedy decoding is noted as not being improved by beam search.</x:v>
      </x:c>
      <x:c r="N205" s="42" t="n">
        <x:v>3</x:v>
      </x:c>
      <x:c r="O205" s="42" t="n">
        <x:v>2</x:v>
      </x:c>
      <x:c r="P205" s="42" t="n">
        <x:v>2</x:v>
      </x:c>
      <x:c r="Q205" s="42" t="n">
        <x:v>2</x:v>
      </x:c>
      <x:c r="R205" s="42" t="n">
        <x:v>3</x:v>
      </x:c>
      <x:c r="S205" s="42" t="n">
        <x:v>2</x:v>
      </x:c>
      <x:c r="T205" s="50" t="n">
        <x:f>IF(COUNT(N205:S205)=6,AVERAGE(N205:S205),"")</x:f>
        <x:v>2.3333333333333335</x:v>
      </x:c>
      <x:c r="U205" s="34" t="str">
        <x:v>AI draft note: Lists knowledge-intensive tasks and retrieval benefits but does not explain parametric limitations, explicit external knowledge, updating, provenance, or unsupported generation.</x:v>
      </x:c>
      <x:c r="V205" s="52" t="str">
        <x:v>AI draft (Codex/GPT); human review required</x:v>
      </x:c>
      <x:c r="W205" s="54" t="str">
        <x:v>2026-06-29</x:v>
      </x:c>
      <x:c r="X205" s="58" t="str">
        <x:v>AI draft - needs human review</x:v>
      </x:c>
    </x:row>
    <x:row r="206" ht="84" customHeight="1">
      <x:c r="A206" s="34" t="str">
        <x:v>A7-Q038-R1</x:v>
      </x:c>
      <x:c r="B206" s="34" t="str">
        <x:v>A7</x:v>
      </x:c>
      <x:c r="C206" s="34" t="str">
        <x:v>Q038</x:v>
      </x:c>
      <x:c r="D206" s="34" t="str">
        <x:v>1</x:v>
      </x:c>
      <x:c r="E206" s="34" t="str">
        <x:v>D1+D2</x:v>
      </x:c>
      <x:c r="F206" s="34" t="str">
        <x:v>RAG Paper and llama.cpp README</x:v>
      </x:c>
      <x:c r="G206" s="34" t="str">
        <x:v>comparison</x:v>
      </x:c>
      <x:c r="H206" s="34" t="str">
        <x:v>hard</x:v>
      </x:c>
      <x:c r="I206" s="34" t="str">
        <x:v>multiple_documents</x:v>
      </x:c>
      <x:c r="J206" s="34" t="str">
        <x:v>How do RAG and local deployment address different parts of the question-answering problem?</x:v>
      </x:c>
      <x:c r="K206" s="34" t="str">
        <x:v>A good answer should say that RAG addresses knowledge grounding by retrieving and using source passages, while local deployment addresses where inference runs and what hardware/runtime is used. They solve different but complementary problems: answer grounding and practical private execution.</x:v>
      </x:c>
      <x:c r="L206" s="34" t="str">
        <x:v>D1 abstract/Methods; D2 README Description/llama-server</x:v>
      </x:c>
      <x:c r="M206" s="34" t="str">
        <x:v>Okay, here's a rephrased and combined response to your question, drawing from the provided context and expanding where necessary:
“RAG (Retrieval-Augmented Generation) and local deployment represent distinct approaches to tackling the question-answering problem. RAG leverages external documents to enhance answers, while local deployment focuses on generating answers directly from the retrieved information.  The context highlights that RAG achieves 11.8% accuracy in question answering scenarios where the correct answer isn't readily available, outperforming extractive QA models (which typically score 0%) by a significant margin.  Specifically, RAG outperforms BART on Open MS-MARCO NLG by 2.6 Bleu points and 2.6 Rouge-L points.  The key difference lies in RAG’s ability to incorporate retrieved context – a crucial element for answering questions that require more than just a simple fact.  The context emphasizes that RAG models can generate more comprehensive and nuanced answers, and that the retrieval process is essential for this.”
---
**Key additions/expansions based on the context:**
*   **Clarified the difference:** I explicitly stated the core difference between RAG and local deployment.
*   **Highlighted the benefit of retrieval:** I emphasized that RAG’s strength is in using retrieved documents to improve answers.
*   **Added a bit more detail:** I expanded slightly on the importance of the retrieved context for answering questions.
Do you want me to elaborate on any specific aspect of this response?</x:v>
      </x:c>
      <x:c r="N206" s="42" t="n">
        <x:v>4</x:v>
      </x:c>
      <x:c r="O206" s="42" t="n">
        <x:v>3</x:v>
      </x:c>
      <x:c r="P206" s="42" t="n">
        <x:v>3</x:v>
      </x:c>
      <x:c r="Q206" s="42" t="n">
        <x:v>3</x:v>
      </x:c>
      <x:c r="R206" s="42" t="n">
        <x:v>3</x:v>
      </x:c>
      <x:c r="S206" s="42" t="n">
        <x:v>3</x:v>
      </x:c>
      <x:c r="T206" s="50" t="n">
        <x:f>IF(COUNT(N206:S206)=6,AVERAGE(N206:S206),"")</x:f>
        <x:v>3.1666666666666665</x:v>
      </x:c>
      <x:c r="U206" s="34" t="str">
        <x:v>AI draft note: Recognises RAG grounding and local execution as distinct, but the visible explanation confuses retrieval with local generation and under-specifies hardware and privacy.</x:v>
      </x:c>
      <x:c r="V206" s="52" t="str">
        <x:v>AI draft (Codex/GPT); human review required</x:v>
      </x:c>
      <x:c r="W206" s="54" t="str">
        <x:v>2026-06-29</x:v>
      </x:c>
      <x:c r="X206" s="58" t="str">
        <x:v>AI draft - needs human review</x:v>
      </x:c>
    </x:row>
    <x:row r="207" ht="84" customHeight="1">
      <x:c r="A207" s="34" t="str">
        <x:v>A7-Q002-R1</x:v>
      </x:c>
      <x:c r="B207" s="34" t="str">
        <x:v>A7</x:v>
      </x:c>
      <x:c r="C207" s="34" t="str">
        <x:v>Q002</x:v>
      </x:c>
      <x:c r="D207" s="34" t="str">
        <x:v>1</x:v>
      </x:c>
      <x:c r="E207" s="34" t="str">
        <x:v>D1</x:v>
      </x:c>
      <x:c r="F207" s="34" t="str">
        <x:v>RAG Paper</x:v>
      </x:c>
      <x:c r="G207" s="34" t="str">
        <x:v>explanation</x:v>
      </x:c>
      <x:c r="H207" s="34" t="str">
        <x:v>medium</x:v>
      </x:c>
      <x:c r="I207" s="34" t="str">
        <x:v>one_document</x:v>
      </x:c>
      <x:c r="J207" s="34" t="str">
        <x:v>How does RAG combine parametric memory and non-parametric memory?</x:v>
      </x:c>
      <x:c r="K207" s="34" t="str">
        <x:v>A good answer should explain that parametric memory is the pre-trained generator model, while non-parametric memory is an external retrieved document index. The retriever selects relevant passages and the generator conditions on the question plus retrieved passages to produce an answer.</x:v>
      </x:c>
      <x:c r="L207" s="34" t="str">
        <x:v>D1 abstract; D1 Introduction; D1 Methods section 2</x:v>
      </x:c>
      <x:c r="M207" s="34" t="str">
        <x:v>Okay, let's break down how RAG (Retrieval-Augmented Generation) combines parametric and non-parametric memory.
RAG works by first retrieving relevant text documents from an external source (like a database or the internet) based on a user’s query. Then, it uses this retrieved information as context alongside the original query to generate an answer.  Essentially, it’s a hybrid approach.
Here’s a more detailed explanation:
*   **Parametric Memory:** This component is like a "knowledge base" that stores pre-defined facts and relationships. It’s trained to remember and retrieve information based on specific patterns and rules.
*   **Non-Parametric Memory:** This component is designed to adapt to new information and changes in the world. It learns from the retrieved documents and updates its understanding as the data evolves.
**In essence, RAG combines these two types of memory to provide a more flexible and adaptable system.**
**Key points from the text:**
*   The model uses the input sequence to retrieve text documents and uses them as additional context when generating the target sequence.
*   It leverages two components: a retriever (which finds relevant documents) and a generator (which produces the answer).
*   The text demonstrates that the non-parametric memory can be updated as the world changes.
</x:v>
      </x:c>
      <x:c r="N207" s="42" t="n">
        <x:v>5</x:v>
      </x:c>
      <x:c r="O207" s="42" t="n">
        <x:v>5</x:v>
      </x:c>
      <x:c r="P207" s="42" t="n">
        <x:v>5</x:v>
      </x:c>
      <x:c r="Q207" s="42" t="n">
        <x:v>5</x:v>
      </x:c>
      <x:c r="R207" s="42" t="n">
        <x:v>5</x:v>
      </x:c>
      <x:c r="S207" s="42" t="n">
        <x:v>5</x:v>
      </x:c>
      <x:c r="T207" s="50" t="n">
        <x:f>IF(COUNT(N207:S207)=6,AVERAGE(N207:S207),"")</x:f>
        <x:v>5</x:v>
      </x:c>
      <x:c r="U207" s="34" t="str">
        <x:v>AI draft note: Complete and accurate explanation of external retrieval, query, retrieved passages, generator context, and hybrid parametric/non-parametric memory.</x:v>
      </x:c>
      <x:c r="V207" s="52" t="str">
        <x:v>AI draft (Codex/GPT); human review required</x:v>
      </x:c>
      <x:c r="W207" s="54" t="str">
        <x:v>2026-06-29</x:v>
      </x:c>
      <x:c r="X207" s="58" t="str">
        <x:v>AI draft - needs human review</x:v>
      </x:c>
    </x:row>
    <x:row r="208" ht="84" customHeight="1">
      <x:c r="A208" s="34" t="str">
        <x:v>T2-Q027-R1</x:v>
      </x:c>
      <x:c r="B208" s="34" t="str">
        <x:v>T2</x:v>
      </x:c>
      <x:c r="C208" s="34" t="str">
        <x:v>Q027</x:v>
      </x:c>
      <x:c r="D208" s="34" t="str">
        <x:v>1</x:v>
      </x:c>
      <x:c r="E208" s="34" t="str">
        <x:v>D3</x:v>
      </x:c>
      <x:c r="F208" s="34" t="str">
        <x:v>NIST AI RMF</x:v>
      </x:c>
      <x:c r="G208" s="34" t="str">
        <x:v>boundary_limitation</x:v>
      </x:c>
      <x:c r="H208" s="34" t="str">
        <x:v>hard</x:v>
      </x:c>
      <x:c r="I208" s="34" t="str">
        <x:v>one_document</x:v>
      </x:c>
      <x:c r="J208" s="34" t="str">
        <x:v>Why should an AI system be evaluated for limitations as well as capabilities?</x:v>
      </x:c>
      <x:c r="K208" s="34" t="str">
        <x:v>A good answer should explain that risk depends on context, uncertainty, negative impacts, and limitations, not only successful outputs. Evaluating limitations helps avoid overclaiming and supports responsible deployment decisions.</x:v>
      </x:c>
      <x:c r="L208" s="34" t="str">
        <x:v>D3 AI RMF Framing Risk; D3 Challenges for AI Risk Management; D3 Human-AI Interaction appendix</x:v>
      </x:c>
      <x:c r="M208" s="34" t="str">
        <x:v>An AI system should be evaluated for both its limitations and capabilities to ensure that it is used safely and effectively in various settings. Here's why:
**Limitations:**
1. **Performance in unexpected settings**: AI systems may not perform as expected in unexpected or unforeseen situations, which can lead to negative impacts on people.
2. **Biases and errors**: AI systems can inherit biases and errors from their training data, leading to unfair or inaccurate outcomes.
3. **Lack of transparency**: AI systems can be complex and difficult to understand, making it challenging to identify and address limitations.
**Capabilities:**
1. **Objectivity**: AI systems can provide objective decision-making and analysis, which can be beneficial in certain contexts.
2. **Increased capabilities**: AI systems can offer capabilities that are not available through traditional software, such as automation, optimization, or predictive analytics.
By evaluating an AI system for both its limitations and capabilities, users can:
1. **Identify potential risks**: Recognize potential risks and negative impacts associated with the system's performance in unexpected settings.
2. **Develop effective use cases**: Design use cases that take into account the system's limitations and capabilities, ensuring that it is used safely and effectively.
3. **Improve trustworthiness**: Demonstrate trustworthiness by demonstrating the system's ability to perform as intended, even in unexpected settings.
By considering both limitations and capabilities, users can develop a more comprehensive understanding of AI system impacts and make informed decisions about their use.</x:v>
      </x:c>
      <x:c r="N208" s="42" t="n">
        <x:v>5</x:v>
      </x:c>
      <x:c r="O208" s="42" t="n">
        <x:v>4</x:v>
      </x:c>
      <x:c r="P208" s="42" t="n">
        <x:v>4</x:v>
      </x:c>
      <x:c r="Q208" s="42" t="n">
        <x:v>4</x:v>
      </x:c>
      <x:c r="R208" s="42" t="n">
        <x:v>5</x:v>
      </x:c>
      <x:c r="S208" s="42" t="n">
        <x:v>4</x:v>
      </x:c>
      <x:c r="T208" s="50" t="n">
        <x:f>IF(COUNT(N208:S208)=6,AVERAGE(N208:S208),"")</x:f>
        <x:v>4.333333333333333</x:v>
      </x:c>
      <x:c r="U208" s="34" t="str">
        <x:v>AI draft note: Strong limitations, unexpected settings, bias, errors, harms, and safe use coverage; uncertainty and avoiding overclaiming could be clearer.</x:v>
      </x:c>
      <x:c r="V208" s="52" t="str">
        <x:v>AI draft (Codex/GPT); human review required</x:v>
      </x:c>
      <x:c r="W208" s="54" t="str">
        <x:v>2026-06-29</x:v>
      </x:c>
      <x:c r="X208" s="58" t="str">
        <x:v>AI draft - needs human review</x:v>
      </x:c>
    </x:row>
    <x:row r="209" ht="84" customHeight="1">
      <x:c r="A209" s="34" t="str">
        <x:v>K8-Q023-R1</x:v>
      </x:c>
      <x:c r="B209" s="34" t="str">
        <x:v>K8</x:v>
      </x:c>
      <x:c r="C209" s="34" t="str">
        <x:v>Q023</x:v>
      </x:c>
      <x:c r="D209" s="34" t="str">
        <x:v>1</x:v>
      </x:c>
      <x:c r="E209" s="34" t="str">
        <x:v>D3</x:v>
      </x:c>
      <x:c r="F209" s="34" t="str">
        <x:v>NIST AI RMF</x:v>
      </x:c>
      <x:c r="G209" s="34" t="str">
        <x:v>explanation</x:v>
      </x:c>
      <x:c r="H209" s="34" t="str">
        <x:v>medium</x:v>
      </x:c>
      <x:c r="I209" s="34" t="str">
        <x:v>one_document</x:v>
      </x:c>
      <x:c r="J209" s="34" t="str">
        <x:v>What does it mean to consider trustworthiness in AI design and evaluation?</x:v>
      </x:c>
      <x:c r="K209" s="34" t="str">
        <x:v>A good answer should mention that trustworthiness includes more than accuracy: valid and reliable, safe, secure and resilient, accountable and transparent, explainable and interpretable, privacy-enhanced, and fair with harmful bias managed.</x:v>
      </x:c>
      <x:c r="L209" s="34" t="str">
        <x:v>D3 AI RMF section 3; D3 Figure 4 discussion</x:v>
      </x:c>
      <x:c r="M209" s="34" t="str">
        <x:v>To consider trustworthiness in AI design and evaluation means that the specific metrics related to AI trustworthiness characteristics and the precise threshold values for those metrics are determined. This involves understanding and treatment of trustworthiness characteristics depending on the particular role of an AI actor within the AI lifecycle. This can increase the likelihood that risks arising in social contexts are managed appropriately. It is important to recognize that trustworthiness is a concept that ranges across a spectrum and is only as strong as its weakest. The specific metrics and threshold values should be informed by the input from interested parties and relevant AI actors throughout the AI lifecycle, and for any given AI system, an AI designer or the AI designer should address the AI trustworthiness characteristics individually. This will not ensure AI system trustworthiness, but tradeoffs are usually involved and some characteristics may be more or less important in any given situation.</x:v>
      </x:c>
      <x:c r="N209" s="42" t="n">
        <x:v>4</x:v>
      </x:c>
      <x:c r="O209" s="42" t="n">
        <x:v>3</x:v>
      </x:c>
      <x:c r="P209" s="42" t="n">
        <x:v>4</x:v>
      </x:c>
      <x:c r="Q209" s="42" t="n">
        <x:v>2</x:v>
      </x:c>
      <x:c r="R209" s="42" t="n">
        <x:v>5</x:v>
      </x:c>
      <x:c r="S209" s="42" t="n">
        <x:v>4</x:v>
      </x:c>
      <x:c r="T209" s="50" t="n">
        <x:f>IF(COUNT(N209:S209)=6,AVERAGE(N209:S209),"")</x:f>
        <x:v>3.6666666666666665</x:v>
      </x:c>
      <x:c r="U209" s="34" t="str">
        <x:v>AI draft note: Correct metrics, thresholds, lifecycle, and social-context framing, but omits nearly all specified trustworthiness characteristics.</x:v>
      </x:c>
      <x:c r="V209" s="52" t="str">
        <x:v>AI draft (Codex/GPT); human review required</x:v>
      </x:c>
      <x:c r="W209" s="54" t="str">
        <x:v>2026-06-29</x:v>
      </x:c>
      <x:c r="X209" s="58" t="str">
        <x:v>AI draft - needs human review</x:v>
      </x:c>
    </x:row>
    <x:row r="210" ht="84" customHeight="1">
      <x:c r="A210" s="34" t="str">
        <x:v>M4-Q018-R1</x:v>
      </x:c>
      <x:c r="B210" s="34" t="str">
        <x:v>M4</x:v>
      </x:c>
      <x:c r="C210" s="34" t="str">
        <x:v>Q018</x:v>
      </x:c>
      <x:c r="D210" s="34" t="str">
        <x:v>1</x:v>
      </x:c>
      <x:c r="E210" s="34" t="str">
        <x:v>D2</x:v>
      </x:c>
      <x:c r="F210" s="34" t="str">
        <x:v>llama.cpp README</x:v>
      </x:c>
      <x:c r="G210" s="34" t="str">
        <x:v>explanation</x:v>
      </x:c>
      <x:c r="H210" s="34" t="str">
        <x:v>medium</x:v>
      </x:c>
      <x:c r="I210" s="34" t="str">
        <x:v>one_document</x:v>
      </x:c>
      <x:c r="J210" s="34" t="str">
        <x:v>What does local inference change about where model computation happens?</x:v>
      </x:c>
      <x:c r="K210" s="34" t="str">
        <x:v>A good answer should say that computation can happen on the user's own machine rather than a remote cloud provider, depending on setup. The answer should avoid overstating privacy because local computation still leaves local storage, logs, and device-security issues.</x:v>
      </x:c>
      <x:c r="L210" s="34" t="str">
        <x:v>D2 README Description; D4 ICO security/data minimisation for limitation context</x:v>
      </x:c>
      <x:c r="M210" s="34" t="str">
        <x:v>Local inference changes where model computation happens by allowing the model to make inferences locally on the device from which the query is generated, rather than relying on a cloud server. This means the model can process data directly on the user's device, such as a smartphone, without needing to send the data to a remote server first. For example, an ML model could be installed on a user's smartphone to predict what news content they might be interested in, and the model would make predictions based on the local data collected during the day. The model's confidence in its predictions can be influenced by the user's past interactions, as the model has seen them before. This approach can be particularly useful for privacy-sensitive applications where data collection and storage are already managed locally by the user.</x:v>
      </x:c>
      <x:c r="N210" s="42" t="n">
        <x:v>5</x:v>
      </x:c>
      <x:c r="O210" s="42" t="n">
        <x:v>5</x:v>
      </x:c>
      <x:c r="P210" s="42" t="n">
        <x:v>5</x:v>
      </x:c>
      <x:c r="Q210" s="42" t="n">
        <x:v>3</x:v>
      </x:c>
      <x:c r="R210" s="42" t="n">
        <x:v>5</x:v>
      </x:c>
      <x:c r="S210" s="42" t="n">
        <x:v>4</x:v>
      </x:c>
      <x:c r="T210" s="50" t="n">
        <x:f>IF(COUNT(N210:S210)=6,AVERAGE(N210:S210),"")</x:f>
        <x:v>4.5</x:v>
      </x:c>
      <x:c r="U210" s="34" t="str">
        <x:v>AI draft note: Directly and accurately contrasts on-device and cloud computation, but omits remaining local storage, logs, and device-security issues.</x:v>
      </x:c>
      <x:c r="V210" s="52" t="str">
        <x:v>AI draft (Codex/GPT); human review required</x:v>
      </x:c>
      <x:c r="W210" s="54" t="str">
        <x:v>2026-06-29</x:v>
      </x:c>
      <x:c r="X210" s="58" t="str">
        <x:v>AI draft - needs human review</x:v>
      </x:c>
    </x:row>
    <x:row r="211" ht="84" customHeight="1">
      <x:c r="A211" s="34" t="str">
        <x:v>F3-Q002-R1</x:v>
      </x:c>
      <x:c r="B211" s="34" t="str">
        <x:v>F3</x:v>
      </x:c>
      <x:c r="C211" s="34" t="str">
        <x:v>Q002</x:v>
      </x:c>
      <x:c r="D211" s="34" t="str">
        <x:v>1</x:v>
      </x:c>
      <x:c r="E211" s="34" t="str">
        <x:v>D1</x:v>
      </x:c>
      <x:c r="F211" s="34" t="str">
        <x:v>RAG Paper</x:v>
      </x:c>
      <x:c r="G211" s="34" t="str">
        <x:v>explanation</x:v>
      </x:c>
      <x:c r="H211" s="34" t="str">
        <x:v>medium</x:v>
      </x:c>
      <x:c r="I211" s="34" t="str">
        <x:v>one_document</x:v>
      </x:c>
      <x:c r="J211" s="34" t="str">
        <x:v>How does RAG combine parametric memory and non-parametric memory?</x:v>
      </x:c>
      <x:c r="K211" s="34" t="str">
        <x:v>A good answer should explain that parametric memory is the pre-trained generator model, while non-parametric memory is an external retrieved document index. The retriever selects relevant passages and the generator conditions on the question plus retrieved passages to produce an answer.</x:v>
      </x:c>
      <x:c r="L211" s="34" t="str">
        <x:v>D1 abstract; D1 Introduction; D1 Methods section 2</x:v>
      </x:c>
      <x:c r="M211" s="34" t="str">
        <x:v>RAG models combine parametric and non-parametric memory by leveraging two components: a retriever that returns (top-K truncated) distributions over text passages given a query, and a generator that generates text documents z and uses them as additional context when generating the target sequence y.</x:v>
      </x:c>
      <x:c r="N211" s="42" t="n">
        <x:v>5</x:v>
      </x:c>
      <x:c r="O211" s="42" t="n">
        <x:v>4</x:v>
      </x:c>
      <x:c r="P211" s="42" t="n">
        <x:v>5</x:v>
      </x:c>
      <x:c r="Q211" s="42" t="n">
        <x:v>4</x:v>
      </x:c>
      <x:c r="R211" s="42" t="n">
        <x:v>4</x:v>
      </x:c>
      <x:c r="S211" s="42" t="n">
        <x:v>5</x:v>
      </x:c>
      <x:c r="T211" s="50" t="n">
        <x:f>IF(COUNT(N211:S211)=6,AVERAGE(N211:S211),"")</x:f>
        <x:v>4.5</x:v>
      </x:c>
      <x:c r="U211" s="34" t="str">
        <x:v>AI draft note: Correct retriever and generator mechanics with external passages; wording that the generator generates documents z is slightly inaccurate.</x:v>
      </x:c>
      <x:c r="V211" s="52" t="str">
        <x:v>AI draft (Codex/GPT); human review required</x:v>
      </x:c>
      <x:c r="W211" s="54" t="str">
        <x:v>2026-06-29</x:v>
      </x:c>
      <x:c r="X211" s="58" t="str">
        <x:v>AI draft - needs human review</x:v>
      </x:c>
    </x:row>
    <x:row r="212" ht="84" customHeight="1">
      <x:c r="A212" s="34" t="str">
        <x:v>T2-Q006-R1</x:v>
      </x:c>
      <x:c r="B212" s="34" t="str">
        <x:v>T2</x:v>
      </x:c>
      <x:c r="C212" s="34" t="str">
        <x:v>Q006</x:v>
      </x:c>
      <x:c r="D212" s="34" t="str">
        <x:v>1</x:v>
      </x:c>
      <x:c r="E212" s="34" t="str">
        <x:v>D1</x:v>
      </x:c>
      <x:c r="F212" s="34" t="str">
        <x:v>RAG Paper</x:v>
      </x:c>
      <x:c r="G212" s="34" t="str">
        <x:v>comparison</x:v>
      </x:c>
      <x:c r="H212" s="34" t="str">
        <x:v>medium</x:v>
      </x:c>
      <x:c r="I212" s="34" t="str">
        <x:v>one_document</x:v>
      </x:c>
      <x:c r="J212" s="34" t="str">
        <x:v>What is the difference between generating from model parameters alone and generating with retrieved passages?</x:v>
      </x:c>
      <x:c r="K212" s="34" t="str">
        <x:v>A good answer should contrast closed-book generation with retrieval-augmented generation. Parametric-only generation relies on internal model weights, while RAG adds retrieved passages as evidence and context, allowing more specific and factual answers when retrieval succeeds.</x:v>
      </x:c>
      <x:c r="L212" s="34" t="str">
        <x:v>D1 Introduction; D1 Open-domain QA section; D1 Results sections 4.1-4.3</x:v>
      </x:c>
      <x:c r="M212" s="34" t="str">
        <x:v>The main difference between generating from model parameters alone and generating with retrieved passages in the context of Retrieval-Augmented Generation (RAG) models is how the model leverages external information to improve its performance.
**Model Parameters Alone (i.e., only using the input sequence)**
In this scenario, the model is trained solely on the input sequence `x` without any external information. The model generates the target sequence `y` based solely on the input sequence, without any prior knowledge or context.
**Retrieved Passages (i.e., using the input sequence as additional context)**
In this scenario, the model uses retrieved passages (i.e., previously retrieved documents) as additional context to improve its performance. The model generates the target sequence `y` by combining the input sequence `x` with the retrieved passages.
The key difference between these two approaches is that the model is using external information (retrieved passages) to augment its internal knowledge (input sequence), rather than relying solely on the input sequence to generate the output.
**RAG Models**
RAG models, such as the one described in the context, combine the benefits of both approaches. They use the input sequence as additional context (i.e., retrieved passages) to improve the model's performance. The model generates the target sequence `y` by combining the input sequence `x` with the retrieved passages.
In summary, the main difference between generating from model parameters alone and generating with retrieved passages is that the former relies solely on the input sequence, while the latter uses external information to augment the model's internal knowledge.</x:v>
      </x:c>
      <x:c r="N212" s="42" t="n">
        <x:v>5</x:v>
      </x:c>
      <x:c r="O212" s="42" t="n">
        <x:v>4</x:v>
      </x:c>
      <x:c r="P212" s="42" t="n">
        <x:v>4</x:v>
      </x:c>
      <x:c r="Q212" s="42" t="n">
        <x:v>4</x:v>
      </x:c>
      <x:c r="R212" s="42" t="n">
        <x:v>4</x:v>
      </x:c>
      <x:c r="S212" s="42" t="n">
        <x:v>4</x:v>
      </x:c>
      <x:c r="T212" s="50" t="n">
        <x:f>IF(COUNT(N212:S212)=6,AVERAGE(N212:S212),"")</x:f>
        <x:v>4.166666666666667</x:v>
      </x:c>
      <x:c r="U212" s="34" t="str">
        <x:v>AI draft note: Correctly contrasts parameter-only and retrieved-context generation, though some terminology is verbose and the factuality benefit could be sharper.</x:v>
      </x:c>
      <x:c r="V212" s="52" t="str">
        <x:v>AI draft (Codex/GPT); human review required</x:v>
      </x:c>
      <x:c r="W212" s="54" t="str">
        <x:v>2026-06-29</x:v>
      </x:c>
      <x:c r="X212" s="58" t="str">
        <x:v>AI draft - needs human review</x:v>
      </x:c>
    </x:row>
    <x:row r="213" ht="84" customHeight="1">
      <x:c r="A213" s="34" t="str">
        <x:v>A7-Q030-R1</x:v>
      </x:c>
      <x:c r="B213" s="34" t="str">
        <x:v>A7</x:v>
      </x:c>
      <x:c r="C213" s="34" t="str">
        <x:v>Q030</x:v>
      </x:c>
      <x:c r="D213" s="34" t="str">
        <x:v>1</x:v>
      </x:c>
      <x:c r="E213" s="34" t="str">
        <x:v>D4</x:v>
      </x:c>
      <x:c r="F213" s="34" t="str">
        <x:v>ICO AI Data Protection Guidance</x:v>
      </x:c>
      <x:c r="G213" s="34" t="str">
        <x:v>fact_retrieval</x:v>
      </x:c>
      <x:c r="H213" s="34" t="str">
        <x:v>easy</x:v>
      </x:c>
      <x:c r="I213" s="34" t="str">
        <x:v>one_document</x:v>
      </x:c>
      <x:c r="J213" s="34" t="str">
        <x:v>What data protection principles are relevant to AI systems?</x:v>
      </x:c>
      <x:c r="K213" s="34" t="str">
        <x:v>A good answer should mention relevant principles covered by the ICO guidance: accountability and governance, transparency, lawfulness, accuracy, fairness, security, data minimisation, and individual rights.</x:v>
      </x:c>
      <x:c r="L213" s="34" t="str">
        <x:v>D4 ICO guidance contents page</x:v>
      </x:c>
      <x:c r="M213" s="34" t="str">
        <x:v>According to the retrieved context, the relevant data protection principles for AI systems are:
*   **Ensuring adequate training for individuals responsible for development, testing, validation, deployment, and monitoring:** This is crucial to understand the statistical accuracy requirements.
*   **Clearly labelling inferences and predictions as such:** This is a key component of data minimisation.
*   **Maintaining reasonable expectations:** This addresses the balance between providing useful AI and avoiding over-promising.
*   **Adopting a common and opportunities presented by AI:** This highlights the importance of staying informed about evolving regulations and best practices.
The context also suggests that the guidance is being restructured to address security and data minimisation, and that the section is aimed at technical professionals.</x:v>
      </x:c>
      <x:c r="N213" s="42" t="n">
        <x:v>3</x:v>
      </x:c>
      <x:c r="O213" s="42" t="n">
        <x:v>3</x:v>
      </x:c>
      <x:c r="P213" s="42" t="n">
        <x:v>3</x:v>
      </x:c>
      <x:c r="Q213" s="42" t="n">
        <x:v>2</x:v>
      </x:c>
      <x:c r="R213" s="42" t="n">
        <x:v>4</x:v>
      </x:c>
      <x:c r="S213" s="42" t="n">
        <x:v>3</x:v>
      </x:c>
      <x:c r="T213" s="50" t="n">
        <x:f>IF(COUNT(N213:S213)=6,AVERAGE(N213:S213),"")</x:f>
        <x:v>3</x:v>
      </x:c>
      <x:c r="U213" s="34" t="str">
        <x:v>AI draft note: Names training, prediction labels, and minimisation, but omits much of accountability, transparency, lawfulness, fairness, security, and individual rights.</x:v>
      </x:c>
      <x:c r="V213" s="52" t="str">
        <x:v>AI draft (Codex/GPT); human review required</x:v>
      </x:c>
      <x:c r="W213" s="54" t="str">
        <x:v>2026-06-29</x:v>
      </x:c>
      <x:c r="X213" s="58" t="str">
        <x:v>AI draft - needs human review</x:v>
      </x:c>
    </x:row>
    <x:row r="214" ht="84" customHeight="1">
      <x:c r="A214" s="34" t="str">
        <x:v>K8-Q022-R1</x:v>
      </x:c>
      <x:c r="B214" s="34" t="str">
        <x:v>K8</x:v>
      </x:c>
      <x:c r="C214" s="34" t="str">
        <x:v>Q022</x:v>
      </x:c>
      <x:c r="D214" s="34" t="str">
        <x:v>1</x:v>
      </x:c>
      <x:c r="E214" s="34" t="str">
        <x:v>D3</x:v>
      </x:c>
      <x:c r="F214" s="34" t="str">
        <x:v>NIST AI RMF</x:v>
      </x:c>
      <x:c r="G214" s="34" t="str">
        <x:v>explanation</x:v>
      </x:c>
      <x:c r="H214" s="34" t="str">
        <x:v>medium</x:v>
      </x:c>
      <x:c r="I214" s="34" t="str">
        <x:v>one_document</x:v>
      </x:c>
      <x:c r="J214" s="34" t="str">
        <x:v>Why does AI risk management matter when deploying AI systems?</x:v>
      </x:c>
      <x:c r="K214" s="34" t="str">
        <x:v>A good answer should explain that AI systems can create risks for individuals, organisations, society, and the environment. Risk management helps identify, document, reduce, and monitor negative impacts while supporting trustworthy and responsible use.</x:v>
      </x:c>
      <x:c r="L214" s="34" t="str">
        <x:v>D3 AI RMF Executive Summary; D3 Framing Risk section</x:v>
      </x:c>
      <x:c r="M214" s="34" t="str">
        <x:v>AI risk management is important when deploying AI systems because it helps to identify and manage risks associated with AI technology. This includes assessing and prioritizing risks based on the assessed risks and priorities. The AI system may not be transparent about the risk metrics or methodologies it used, but it is incumbent on the user to continue to apply the MANAGE function to deployed AI systems. The methods, contexts, risks, and needs of the AI actors evolve over time, so all parties and AI actors should manage risk in the AI systems they develop, deploy, or use as standalone or integrated components. Tracking emergent risks: Organizations risk. Risks are present during development and deployment should cease in a safe manner until risks can be sufficiently managed. If an AI systems development, deployment, and use cases are found to be low-risk in a specific context, that may suggest potentially lower prioritization. The answer is not provided in the context, but it is stated that AI risk management is important for identifying and managing risks associated with AI technology, and for assessing and prioritizing risks based on the assessed risks and priorities.</x:v>
      </x:c>
      <x:c r="N214" s="42" t="n">
        <x:v>4</x:v>
      </x:c>
      <x:c r="O214" s="42" t="n">
        <x:v>4</x:v>
      </x:c>
      <x:c r="P214" s="42" t="n">
        <x:v>4</x:v>
      </x:c>
      <x:c r="Q214" s="42" t="n">
        <x:v>3</x:v>
      </x:c>
      <x:c r="R214" s="42" t="n">
        <x:v>5</x:v>
      </x:c>
      <x:c r="S214" s="42" t="n">
        <x:v>4</x:v>
      </x:c>
      <x:c r="T214" s="50" t="n">
        <x:f>IF(COUNT(N214:S214)=6,AVERAGE(N214:S214),"")</x:f>
        <x:v>4</x:v>
      </x:c>
      <x:c r="U214" s="34" t="str">
        <x:v>AI draft note: Good identification, prioritisation, transparency, and continuing MANAGE coverage; affected groups, environment, documentation, and responsible use are incomplete.</x:v>
      </x:c>
      <x:c r="V214" s="52" t="str">
        <x:v>AI draft (Codex/GPT); human review required</x:v>
      </x:c>
      <x:c r="W214" s="54" t="str">
        <x:v>2026-06-29</x:v>
      </x:c>
      <x:c r="X214" s="58" t="str">
        <x:v>AI draft - needs human review</x:v>
      </x:c>
    </x:row>
    <x:row r="215" ht="84" customHeight="1">
      <x:c r="A215" s="34" t="str">
        <x:v>F3-Q032-R1</x:v>
      </x:c>
      <x:c r="B215" s="34" t="str">
        <x:v>F3</x:v>
      </x:c>
      <x:c r="C215" s="34" t="str">
        <x:v>Q032</x:v>
      </x:c>
      <x:c r="D215" s="34" t="str">
        <x:v>1</x:v>
      </x:c>
      <x:c r="E215" s="34" t="str">
        <x:v>D4</x:v>
      </x:c>
      <x:c r="F215" s="34" t="str">
        <x:v>ICO AI Data Protection Guidance</x:v>
      </x:c>
      <x:c r="G215" s="34" t="str">
        <x:v>explanation</x:v>
      </x:c>
      <x:c r="H215" s="34" t="str">
        <x:v>medium</x:v>
      </x:c>
      <x:c r="I215" s="34" t="str">
        <x:v>one_document</x:v>
      </x:c>
      <x:c r="J215" s="34" t="str">
        <x:v>What does lawfulness mean in the context of AI and data protection?</x:v>
      </x:c>
      <x:c r="K215" s="34" t="str">
        <x:v>A good answer should say that every distinct personal-data processing operation in AI development or deployment needs a clear purpose and an appropriate lawful basis. Training and applying a model may involve different lawful bases.</x:v>
      </x:c>
      <x:c r="L215" s="34" t="str">
        <x:v>D4 ICO lawfulness chapter</x:v>
      </x:c>
      <x:c r="M215" s="34" t="str">
        <x:v>Lawfulness in the context of AI and data protection refers to the adherence to legal standards and regulations to ensure that AI systems and their data processing activities comply with legal requirements. This involves ensuring that AI systems are designed and operated in a way that respects privacy, protects personal data, and upholds legal obligations. The aim is to ensure that AI systems are used in a way that is lawful and in line with legal standards, thereby maintaining public trust and confidence in the technology.</x:v>
      </x:c>
      <x:c r="N215" s="42" t="n">
        <x:v>3</x:v>
      </x:c>
      <x:c r="O215" s="42" t="n">
        <x:v>3</x:v>
      </x:c>
      <x:c r="P215" s="42" t="n">
        <x:v>3</x:v>
      </x:c>
      <x:c r="Q215" s="42" t="n">
        <x:v>2</x:v>
      </x:c>
      <x:c r="R215" s="42" t="n">
        <x:v>4</x:v>
      </x:c>
      <x:c r="S215" s="42" t="n">
        <x:v>3</x:v>
      </x:c>
      <x:c r="T215" s="50" t="n">
        <x:f>IF(COUNT(N215:S215)=6,AVERAGE(N215:S215),"")</x:f>
        <x:v>3</x:v>
      </x:c>
      <x:c r="U215" s="34" t="str">
        <x:v>AI draft note: Correct general legal compliance idea but omits distinct processing operations, clear purposes, lawful bases, and different training versus deployment bases.</x:v>
      </x:c>
      <x:c r="V215" s="52" t="str">
        <x:v>AI draft (Codex/GPT); human review required</x:v>
      </x:c>
      <x:c r="W215" s="54" t="str">
        <x:v>2026-06-29</x:v>
      </x:c>
      <x:c r="X215" s="58" t="str">
        <x:v>AI draft - needs human review</x:v>
      </x:c>
    </x:row>
    <x:row r="216" ht="84" customHeight="1">
      <x:c r="A216" s="34" t="str">
        <x:v>A7-Q025-R1</x:v>
      </x:c>
      <x:c r="B216" s="34" t="str">
        <x:v>A7</x:v>
      </x:c>
      <x:c r="C216" s="34" t="str">
        <x:v>Q025</x:v>
      </x:c>
      <x:c r="D216" s="34" t="str">
        <x:v>1</x:v>
      </x:c>
      <x:c r="E216" s="34" t="str">
        <x:v>D3</x:v>
      </x:c>
      <x:c r="F216" s="34" t="str">
        <x:v>NIST AI RMF</x:v>
      </x:c>
      <x:c r="G216" s="34" t="str">
        <x:v>comparison</x:v>
      </x:c>
      <x:c r="H216" s="34" t="str">
        <x:v>medium</x:v>
      </x:c>
      <x:c r="I216" s="34" t="str">
        <x:v>one_document</x:v>
      </x:c>
      <x:c r="J216" s="34" t="str">
        <x:v>Why should risks to individuals organisations and society be considered separately?</x:v>
      </x:c>
      <x:c r="K216" s="34" t="str">
        <x:v>A good answer should explain that AI impacts can occur at different levels: individual harms, organisational failures, and wider societal effects. Treating them separately helps avoid reducing risk to only model accuracy or technical performance.</x:v>
      </x:c>
      <x:c r="L216" s="34" t="str">
        <x:v>D3 AI RMF web overview; D3 Executive Summary; D3 Framing Risk</x:v>
      </x:c>
      <x:c r="M216" s="34" t="str">
        <x:v>Okay, here’s a rephrased and expanded answer based on the provided context, aiming for clarity and completeness:
When considering risks, it’s crucial to recognize that they aren’t viewed as a single, uniform issue. Instead, risks are a function of two key elements: the *magnitude* of potential harm – how significant the negative consequences could be – and the *likelihood* of that harm occurring.  The context emphasizes that these risks can affect individuals, groups, communities, organizations, society, the environment, and even the planet.  Therefore, it’s essential to analyze risks separately to understand their diverse impacts.  This separation allows for targeted risk management strategies that address specific vulnerabilities and potential consequences within each area.
Specifically, the provided context highlights that risk tolerance – the acceptable level of risk – is influenced by various factors, including policies and norms established by different entities.  Furthermore, emerging knowledge and new risks are increasingly integrated into broader enterprise risk management considerations, which now include AI risks.  Organizations must be aware that risk tolerances can change over time as AI systems, policies, and norms evolve, and that different organizations may have varying tolerances based on their priorities and available resources.  Finally, the context points out that organizations are actively seeking guidance from established standards and frameworks like the NIST Cybersecurity Framework, the NIST Privacy Framework, and the NIST Risk Management Framework to mitigate security and privacy risks, recognizing that these are just one part of a larger effort to build trustworthy AI systems.</x:v>
      </x:c>
      <x:c r="N216" s="42" t="n">
        <x:v>4</x:v>
      </x:c>
      <x:c r="O216" s="42" t="n">
        <x:v>4</x:v>
      </x:c>
      <x:c r="P216" s="42" t="n">
        <x:v>4</x:v>
      </x:c>
      <x:c r="Q216" s="42" t="n">
        <x:v>3</x:v>
      </x:c>
      <x:c r="R216" s="42" t="n">
        <x:v>5</x:v>
      </x:c>
      <x:c r="S216" s="42" t="n">
        <x:v>4</x:v>
      </x:c>
      <x:c r="T216" s="50" t="n">
        <x:f>IF(COUNT(N216:S216)=6,AVERAGE(N216:S216),"")</x:f>
        <x:v>4</x:v>
      </x:c>
      <x:c r="U216" s="34" t="str">
        <x:v>AI draft note: Explains magnitude and likelihood across affected levels, but the visible response under-specifies concrete individual, organisational, and societal harms.</x:v>
      </x:c>
      <x:c r="V216" s="52" t="str">
        <x:v>AI draft (Codex/GPT); human review required</x:v>
      </x:c>
      <x:c r="W216" s="54" t="str">
        <x:v>2026-06-29</x:v>
      </x:c>
      <x:c r="X216" s="58" t="str">
        <x:v>AI draft - needs human review</x:v>
      </x:c>
    </x:row>
    <x:row r="217" ht="84" customHeight="1">
      <x:c r="A217" s="34" t="str">
        <x:v>M4-Q024-R1</x:v>
      </x:c>
      <x:c r="B217" s="34" t="str">
        <x:v>M4</x:v>
      </x:c>
      <x:c r="C217" s="34" t="str">
        <x:v>Q024</x:v>
      </x:c>
      <x:c r="D217" s="34" t="str">
        <x:v>1</x:v>
      </x:c>
      <x:c r="E217" s="34" t="str">
        <x:v>D3</x:v>
      </x:c>
      <x:c r="F217" s="34" t="str">
        <x:v>NIST AI RMF</x:v>
      </x:c>
      <x:c r="G217" s="34" t="str">
        <x:v>source_grounded_synthesis</x:v>
      </x:c>
      <x:c r="H217" s="34" t="str">
        <x:v>hard</x:v>
      </x:c>
      <x:c r="I217" s="34" t="str">
        <x:v>one_document</x:v>
      </x:c>
      <x:c r="J217" s="34" t="str">
        <x:v>How can an AI risk framework support evaluation beyond accuracy alone?</x:v>
      </x:c>
      <x:c r="K217" s="34" t="str">
        <x:v>A good answer should explain that the framework encourages evaluation of reliability, safety, security, transparency, explainability, privacy, fairness, and context of use. In this dissertation, that supports measuring system metrics and discussing privacy, not only answer correctness.</x:v>
      </x:c>
      <x:c r="L217" s="34" t="str">
        <x:v>D3 AI RMF section 3; D3 Core functions section</x:v>
      </x:c>
      <x:c r="M217" s="34" t="str">
        <x:v>An AI risk framework can support evaluation beyond accuracy by considering the unique and meaningful information provided by different measurement types. It should enhance the capacity to comprehensively evaluate system trustworthiness, identify and track existing and emergent risks, and verify the efficacy of metrics. Measurement outcomes will be utilized in the MANAGE function to assist in risk monitoring and response. The framework should be intuitive and adaptable to an organization's broader risk management strategy and processes, consistent with other approaches to managing AI risks, and useful to a wide range of perspectives, sectors, and technology domains. It should provide a catalog of outcomes and approaches rather than establishing established frameworks or mechanisms for assessing emergent risks or continual improvement.</x:v>
      </x:c>
      <x:c r="N217" s="42" t="n">
        <x:v>4</x:v>
      </x:c>
      <x:c r="O217" s="42" t="n">
        <x:v>4</x:v>
      </x:c>
      <x:c r="P217" s="42" t="n">
        <x:v>4</x:v>
      </x:c>
      <x:c r="Q217" s="42" t="n">
        <x:v>3</x:v>
      </x:c>
      <x:c r="R217" s="42" t="n">
        <x:v>5</x:v>
      </x:c>
      <x:c r="S217" s="42" t="n">
        <x:v>4</x:v>
      </x:c>
      <x:c r="T217" s="50" t="n">
        <x:f>IF(COUNT(N217:S217)=6,AVERAGE(N217:S217),"")</x:f>
        <x:v>4</x:v>
      </x:c>
      <x:c r="U217" s="34" t="str">
        <x:v>AI draft note: Strong broader measurement, trustworthiness, emergent-risk, and management framing, but named safety, privacy, fairness, and explainability dimensions are missing.</x:v>
      </x:c>
      <x:c r="V217" s="52" t="str">
        <x:v>AI draft (Codex/GPT); human review required</x:v>
      </x:c>
      <x:c r="W217" s="54" t="str">
        <x:v>2026-06-29</x:v>
      </x:c>
      <x:c r="X217" s="58" t="str">
        <x:v>AI draft - needs human review</x:v>
      </x:c>
    </x:row>
    <x:row r="218" ht="84" customHeight="1">
      <x:c r="A218" s="34" t="str">
        <x:v>M4-Q031-R1</x:v>
      </x:c>
      <x:c r="B218" s="34" t="str">
        <x:v>M4</x:v>
      </x:c>
      <x:c r="C218" s="34" t="str">
        <x:v>Q031</x:v>
      </x:c>
      <x:c r="D218" s="34" t="str">
        <x:v>1</x:v>
      </x:c>
      <x:c r="E218" s="34" t="str">
        <x:v>D4</x:v>
      </x:c>
      <x:c r="F218" s="34" t="str">
        <x:v>ICO AI Data Protection Guidance</x:v>
      </x:c>
      <x:c r="G218" s="34" t="str">
        <x:v>explanation</x:v>
      </x:c>
      <x:c r="H218" s="34" t="str">
        <x:v>medium</x:v>
      </x:c>
      <x:c r="I218" s="34" t="str">
        <x:v>one_document</x:v>
      </x:c>
      <x:c r="J218" s="34" t="str">
        <x:v>Why are transparency and explainability important for AI systems that process personal data?</x:v>
      </x:c>
      <x:c r="K218" s="34" t="str">
        <x:v>A good answer should explain that people need clear information about how their personal data is processed, including purposes, retention, and sharing. Transparency helps comply with data protection obligations and supports explainability around AI use.</x:v>
      </x:c>
      <x:c r="L218" s="34" t="str">
        <x:v>D4 ICO transparency chapter</x:v>
      </x:c>
      <x:c r="M218" s="34" t="str">
        <x:v>Transparency and explainability are crucial for AI systems that process personal data because they ensure that individuals are informed about how their data is being used and processed. This helps build trust and confidence in the AI system, as it allows users to understand the decision-making process and the outcomes of AI actions. By providing clear information about the purposes for processing personal data, retention periods, and data sharing, users can make informed choices and take action if they feel their rights have been violated. Transparency also helps in identifying and addressing potential biases or errors in the AI system, ensuring fair and just outcomes.</x:v>
      </x:c>
      <x:c r="N218" s="42" t="n">
        <x:v>5</x:v>
      </x:c>
      <x:c r="O218" s="42" t="n">
        <x:v>4</x:v>
      </x:c>
      <x:c r="P218" s="42" t="n">
        <x:v>4</x:v>
      </x:c>
      <x:c r="Q218" s="42" t="n">
        <x:v>4</x:v>
      </x:c>
      <x:c r="R218" s="42" t="n">
        <x:v>5</x:v>
      </x:c>
      <x:c r="S218" s="42" t="n">
        <x:v>4</x:v>
      </x:c>
      <x:c r="T218" s="50" t="n">
        <x:f>IF(COUNT(N218:S218)=6,AVERAGE(N218:S218),"")</x:f>
        <x:v>4.333333333333333</x:v>
      </x:c>
      <x:c r="U218" s="34" t="str">
        <x:v>AI draft note: Clear information, purpose, decision-process, trust, and accountability coverage; retention and sharing could be more explicit.</x:v>
      </x:c>
      <x:c r="V218" s="52" t="str">
        <x:v>AI draft (Codex/GPT); human review required</x:v>
      </x:c>
      <x:c r="W218" s="54" t="str">
        <x:v>2026-06-29</x:v>
      </x:c>
      <x:c r="X218" s="58" t="str">
        <x:v>AI draft - needs human review</x:v>
      </x:c>
    </x:row>
    <x:row r="219" ht="84" customHeight="1">
      <x:c r="A219" s="34" t="str">
        <x:v>A7-Q036-R1</x:v>
      </x:c>
      <x:c r="B219" s="34" t="str">
        <x:v>A7</x:v>
      </x:c>
      <x:c r="C219" s="34" t="str">
        <x:v>Q036</x:v>
      </x:c>
      <x:c r="D219" s="34" t="str">
        <x:v>1</x:v>
      </x:c>
      <x:c r="E219" s="34" t="str">
        <x:v>D4</x:v>
      </x:c>
      <x:c r="F219" s="34" t="str">
        <x:v>ICO AI Data Protection Guidance</x:v>
      </x:c>
      <x:c r="G219" s="34" t="str">
        <x:v>source_grounded_synthesis</x:v>
      </x:c>
      <x:c r="H219" s="34" t="str">
        <x:v>hard</x:v>
      </x:c>
      <x:c r="I219" s="34" t="str">
        <x:v>one_document</x:v>
      </x:c>
      <x:c r="J219" s="34" t="str">
        <x:v>How can local deployment reduce some privacy risks while leaving other data protection responsibilities in place?</x:v>
      </x:c>
      <x:c r="K219" s="34" t="str">
        <x:v>A good answer should say local deployment can reduce transfer of questions or documents to external providers, but responsibilities remain for lawful processing, transparency, security, data minimisation, logging, retention, and access control on the local system.</x:v>
      </x:c>
      <x:c r="L219" s="34" t="str">
        <x:v>D4 ICO transparency; lawfulness; security and data minimisation chapters</x:v>
      </x:c>
      <x:c r="M219" s="34" t="str">
        <x:v>Okay, here’s a rephrased and expanded answer based on the provided context, aiming for clarity and completeness:
“Local deployment of models offers a way to mitigate privacy risks while still adhering to data protection laws.  Instead of sending sensitive data to a central server, you can run the model directly on your own infrastructure. This reduces the risk of exposure because the data never leaves your environment. However, it’s crucial to remember that this approach doesn’t eliminate all responsibilities under data protection law.  Specifically, the development stage – where you’re processing personal data to train the model – and the deployment stage – where you use the model’s predictions – are both areas where data protection regulations apply.  These regulations require careful consideration throughout the entire lifecycle of the data, from its creation to its use and disposal.  For example, the data protection law dictates how personal data is handled during the development and deployment phases, and it’s important to ensure compliance at each stage.”
**Key additions and clarifications:**
*   **Emphasis on Reduced Exposure:** The answer highlights the core benefit of local deployment – minimizing data leakage.
*   **Expanded on Data Protection Law:** It clarifies that local deployment doesn't eliminate responsibilities under data protection laws, emphasizing the need for careful consideration throughout the lifecycle.
*   **Specific Stages:** It explicitly mentions the development and deployment stages as key areas of concern.
Do you want me to elaborate on any specific aspect of this answer, or perhaps provide more detail on a particular data protection regulation?</x:v>
      </x:c>
      <x:c r="N219" s="42" t="n">
        <x:v>5</x:v>
      </x:c>
      <x:c r="O219" s="42" t="n">
        <x:v>4</x:v>
      </x:c>
      <x:c r="P219" s="42" t="n">
        <x:v>4</x:v>
      </x:c>
      <x:c r="Q219" s="42" t="n">
        <x:v>4</x:v>
      </x:c>
      <x:c r="R219" s="42" t="n">
        <x:v>5</x:v>
      </x:c>
      <x:c r="S219" s="42" t="n">
        <x:v>4</x:v>
      </x:c>
      <x:c r="T219" s="50" t="n">
        <x:f>IF(COUNT(N219:S219)=6,AVERAGE(N219:S219),"")</x:f>
        <x:v>4.333333333333333</x:v>
      </x:c>
      <x:c r="U219" s="34" t="str">
        <x:v>AI draft note: Clearly explains reduced external transfer and continuing legal duties; detailed logging, retention, access-control, and minimisation responsibilities could be fuller.</x:v>
      </x:c>
      <x:c r="V219" s="52" t="str">
        <x:v>AI draft (Codex/GPT); human review required</x:v>
      </x:c>
      <x:c r="W219" s="54" t="str">
        <x:v>2026-06-29</x:v>
      </x:c>
      <x:c r="X219" s="58" t="str">
        <x:v>AI draft - needs human review</x:v>
      </x:c>
    </x:row>
    <x:row r="220" ht="84" customHeight="1">
      <x:c r="A220" s="34" t="str">
        <x:v>R9-Q010-R1</x:v>
      </x:c>
      <x:c r="B220" s="34" t="str">
        <x:v>R9</x:v>
      </x:c>
      <x:c r="C220" s="34" t="str">
        <x:v>Q010</x:v>
      </x:c>
      <x:c r="D220" s="34" t="str">
        <x:v>1</x:v>
      </x:c>
      <x:c r="E220" s="34" t="str">
        <x:v>D1</x:v>
      </x:c>
      <x:c r="F220" s="34" t="str">
        <x:v>RAG Paper</x:v>
      </x:c>
      <x:c r="G220" s="34" t="str">
        <x:v>source_grounded_synthesis</x:v>
      </x:c>
      <x:c r="H220" s="34" t="str">
        <x:v>hard</x:v>
      </x:c>
      <x:c r="I220" s="34" t="str">
        <x:v>one_document</x:v>
      </x:c>
      <x:c r="J220" s="34" t="str">
        <x:v>What does RAG add to a standard language generation system?</x:v>
      </x:c>
      <x:c r="K220" s="34" t="str">
        <x:v>A good answer should say that RAG adds an external retrieval component and a document index to a generator. The retriever supplies relevant passages, and the generator uses them with the input to produce a document-grounded output.</x:v>
      </x:c>
      <x:c r="L220" s="34" t="str">
        <x:v>D1 Figure 1; D1 Methods section 2</x:v>
      </x:c>
      <x:c r="M220" s="34" t="str">
        <x:v>RAG adds a retrieval mechanism to a standard language generation system, which helps in generating more diverse and factually accurate responses. The retrieval mechanism allows RAG to learn to retrieve relevant information for the task, improving the effectiveness of the generation model. RAG is more diverse than RAG-Tokens and BART, and it performs better than BART in terms of factual accuracy and specificity.</x:v>
      </x:c>
      <x:c r="N220" s="42" t="n">
        <x:v>4</x:v>
      </x:c>
      <x:c r="O220" s="42" t="n">
        <x:v>3</x:v>
      </x:c>
      <x:c r="P220" s="42" t="n">
        <x:v>3</x:v>
      </x:c>
      <x:c r="Q220" s="42" t="n">
        <x:v>3</x:v>
      </x:c>
      <x:c r="R220" s="42" t="n">
        <x:v>4</x:v>
      </x:c>
      <x:c r="S220" s="42" t="n">
        <x:v>3</x:v>
      </x:c>
      <x:c r="T220" s="50" t="n">
        <x:f>IF(COUNT(N220:S220)=6,AVERAGE(N220:S220),"")</x:f>
        <x:v>3.3333333333333335</x:v>
      </x:c>
      <x:c r="U220" s="34" t="str">
        <x:v>AI draft note: Identifies retrieval and factual benefits, but omits the document index, passage context, and explicit input-plus-evidence generation process.</x:v>
      </x:c>
      <x:c r="V220" s="52" t="str">
        <x:v>AI draft (Codex/GPT); human review required</x:v>
      </x:c>
      <x:c r="W220" s="54" t="str">
        <x:v>2026-06-29</x:v>
      </x:c>
      <x:c r="X220" s="58" t="str">
        <x:v>AI draft - needs human review</x:v>
      </x:c>
    </x:row>
    <x:row r="221" ht="84" customHeight="1">
      <x:c r="A221" s="34" t="str">
        <x:v>R9-Q032-R1</x:v>
      </x:c>
      <x:c r="B221" s="34" t="str">
        <x:v>R9</x:v>
      </x:c>
      <x:c r="C221" s="34" t="str">
        <x:v>Q032</x:v>
      </x:c>
      <x:c r="D221" s="34" t="str">
        <x:v>1</x:v>
      </x:c>
      <x:c r="E221" s="34" t="str">
        <x:v>D4</x:v>
      </x:c>
      <x:c r="F221" s="34" t="str">
        <x:v>ICO AI Data Protection Guidance</x:v>
      </x:c>
      <x:c r="G221" s="34" t="str">
        <x:v>explanation</x:v>
      </x:c>
      <x:c r="H221" s="34" t="str">
        <x:v>medium</x:v>
      </x:c>
      <x:c r="I221" s="34" t="str">
        <x:v>one_document</x:v>
      </x:c>
      <x:c r="J221" s="34" t="str">
        <x:v>What does lawfulness mean in the context of AI and data protection?</x:v>
      </x:c>
      <x:c r="K221" s="34" t="str">
        <x:v>A good answer should say that every distinct personal-data processing operation in AI development or deployment needs a clear purpose and an appropriate lawful basis. Training and applying a model may involve different lawful bases.</x:v>
      </x:c>
      <x:c r="L221" s="34" t="str">
        <x:v>D4 ICO lawfulness chapter</x:v>
      </x:c>
      <x:c r="M221" s="34" t="str">
        <x:v>Lawfulness in the context of AI and data protection refers to the requirement that any processing of personal data by an AI system must be conducted in a way that is lawful, fair, and transparent. This means that the use of an AI system to process personal data should be justified and aligned with legal obligations, public tasks, or vital interests. The ICO provides guidance on how to ensure lawfulness in AI, emphasizing that the use of an AI system to process personal data should not be integral to the service and should consider an alternative lawful basis if necessary. The guidance also covers the use of legal obligations, public tasks, and vital interests as lawful bases for processing personal data.</x:v>
      </x:c>
      <x:c r="N221" s="42" t="n">
        <x:v>4</x:v>
      </x:c>
      <x:c r="O221" s="42" t="n">
        <x:v>3</x:v>
      </x:c>
      <x:c r="P221" s="42" t="n">
        <x:v>3</x:v>
      </x:c>
      <x:c r="Q221" s="42" t="n">
        <x:v>3</x:v>
      </x:c>
      <x:c r="R221" s="42" t="n">
        <x:v>4</x:v>
      </x:c>
      <x:c r="S221" s="42" t="n">
        <x:v>3</x:v>
      </x:c>
      <x:c r="T221" s="50" t="n">
        <x:f>IF(COUNT(N221:S221)=6,AVERAGE(N221:S221),"")</x:f>
        <x:v>3.3333333333333335</x:v>
      </x:c>
      <x:c r="U221" s="34" t="str">
        <x:v>AI draft note: Correctly requires lawful, fair, transparent processing and a legal justification, but does not distinguish operations or training and deployment bases.</x:v>
      </x:c>
      <x:c r="V221" s="52" t="str">
        <x:v>AI draft (Codex/GPT); human review required</x:v>
      </x:c>
      <x:c r="W221" s="54" t="str">
        <x:v>2026-06-29</x:v>
      </x:c>
      <x:c r="X221" s="58" t="str">
        <x:v>AI draft - needs human review</x:v>
      </x:c>
    </x:row>
    <x:row r="222" ht="84" customHeight="1">
      <x:c r="A222" s="34" t="str">
        <x:v>M4-Q025-R1</x:v>
      </x:c>
      <x:c r="B222" s="34" t="str">
        <x:v>M4</x:v>
      </x:c>
      <x:c r="C222" s="34" t="str">
        <x:v>Q025</x:v>
      </x:c>
      <x:c r="D222" s="34" t="str">
        <x:v>1</x:v>
      </x:c>
      <x:c r="E222" s="34" t="str">
        <x:v>D3</x:v>
      </x:c>
      <x:c r="F222" s="34" t="str">
        <x:v>NIST AI RMF</x:v>
      </x:c>
      <x:c r="G222" s="34" t="str">
        <x:v>comparison</x:v>
      </x:c>
      <x:c r="H222" s="34" t="str">
        <x:v>medium</x:v>
      </x:c>
      <x:c r="I222" s="34" t="str">
        <x:v>one_document</x:v>
      </x:c>
      <x:c r="J222" s="34" t="str">
        <x:v>Why should risks to individuals organisations and society be considered separately?</x:v>
      </x:c>
      <x:c r="K222" s="34" t="str">
        <x:v>A good answer should explain that AI impacts can occur at different levels: individual harms, organisational failures, and wider societal effects. Treating them separately helps avoid reducing risk to only model accuracy or technical performance.</x:v>
      </x:c>
      <x:c r="L222" s="34" t="str">
        <x:v>D3 AI RMF web overview; D3 Executive Summary; D3 Framing Risk</x:v>
      </x:c>
      <x:c r="M222" s="34" t="str">
        <x:v>Risks to individuals, organizations, and society should be considered separately because they have distinct negative impacts and likelihoods. For instance, a single negative impact on an individual can be severe, whereas a similar impact on an organization or society could be catastrophic. Additionally, the likelihood of occurrence varies significantly among these entities, with some being more prone to certain risks than others. Therefore, it is crucial to manage these risks individually to ensure comprehensive risk management.</x:v>
      </x:c>
      <x:c r="N222" s="42" t="n">
        <x:v>5</x:v>
      </x:c>
      <x:c r="O222" s="42" t="n">
        <x:v>4</x:v>
      </x:c>
      <x:c r="P222" s="42" t="n">
        <x:v>4</x:v>
      </x:c>
      <x:c r="Q222" s="42" t="n">
        <x:v>4</x:v>
      </x:c>
      <x:c r="R222" s="42" t="n">
        <x:v>5</x:v>
      </x:c>
      <x:c r="S222" s="42" t="n">
        <x:v>4</x:v>
      </x:c>
      <x:c r="T222" s="50" t="n">
        <x:f>IF(COUNT(N222:S222)=6,AVERAGE(N222:S222),"")</x:f>
        <x:v>4.333333333333333</x:v>
      </x:c>
      <x:c r="U222" s="34" t="str">
        <x:v>AI draft note: Clearly distinguishes levels, severity, and likelihood; it could better connect separation to avoiding accuracy-only technical assessment.</x:v>
      </x:c>
      <x:c r="V222" s="52" t="str">
        <x:v>AI draft (Codex/GPT); human review required</x:v>
      </x:c>
      <x:c r="W222" s="54" t="str">
        <x:v>2026-06-29</x:v>
      </x:c>
      <x:c r="X222" s="58" t="str">
        <x:v>AI draft - needs human review</x:v>
      </x:c>
    </x:row>
    <x:row r="223" ht="84" customHeight="1">
      <x:c r="A223" s="34" t="str">
        <x:v>F3-Q004-R1</x:v>
      </x:c>
      <x:c r="B223" s="34" t="str">
        <x:v>F3</x:v>
      </x:c>
      <x:c r="C223" s="34" t="str">
        <x:v>Q004</x:v>
      </x:c>
      <x:c r="D223" s="34" t="str">
        <x:v>1</x:v>
      </x:c>
      <x:c r="E223" s="34" t="str">
        <x:v>D1</x:v>
      </x:c>
      <x:c r="F223" s="34" t="str">
        <x:v>RAG Paper</x:v>
      </x:c>
      <x:c r="G223" s="34" t="str">
        <x:v>fact_retrieval</x:v>
      </x:c>
      <x:c r="H223" s="34" t="str">
        <x:v>easy</x:v>
      </x:c>
      <x:c r="I223" s="34" t="str">
        <x:v>one_document</x:v>
      </x:c>
      <x:c r="J223" s="34" t="str">
        <x:v>What is the role of the retriever in a RAG pipeline?</x:v>
      </x:c>
      <x:c r="K223" s="34" t="str">
        <x:v>A good answer should say that the retriever takes the input query, searches a document index, and returns top relevant text passages. These passages become context for the generator.</x:v>
      </x:c>
      <x:c r="L223" s="34" t="str">
        <x:v>D1 Methods section 2; D1 Retriever section 2.2</x:v>
      </x:c>
      <x:c r="M223" s="34" t="str">
        <x:v>In a RAG pipeline, the retriever plays a crucial role. It is initialized using DPRs retriever, which uses retrieval supervision on Natural Questions and TriviaQA. The retriever is used to retrieve relevant information for the task, allowing the RAG to generate diverse and relevant answers.</x:v>
      </x:c>
      <x:c r="N223" s="42" t="n">
        <x:v>4</x:v>
      </x:c>
      <x:c r="O223" s="42" t="n">
        <x:v>3</x:v>
      </x:c>
      <x:c r="P223" s="42" t="n">
        <x:v>4</x:v>
      </x:c>
      <x:c r="Q223" s="42" t="n">
        <x:v>3</x:v>
      </x:c>
      <x:c r="R223" s="42" t="n">
        <x:v>4</x:v>
      </x:c>
      <x:c r="S223" s="42" t="n">
        <x:v>4</x:v>
      </x:c>
      <x:c r="T223" s="50" t="n">
        <x:f>IF(COUNT(N223:S223)=6,AVERAGE(N223:S223),"")</x:f>
        <x:v>3.6666666666666665</x:v>
      </x:c>
      <x:c r="U223" s="34" t="str">
        <x:v>AI draft note: Correctly describes relevant retrieval before generation, but does not clearly state query-index search and top passages and adds unnecessary training details.</x:v>
      </x:c>
      <x:c r="V223" s="52" t="str">
        <x:v>AI draft (Codex/GPT); human review required</x:v>
      </x:c>
      <x:c r="W223" s="54" t="str">
        <x:v>2026-06-29</x:v>
      </x:c>
      <x:c r="X223" s="58" t="str">
        <x:v>AI draft - needs human review</x:v>
      </x:c>
    </x:row>
    <x:row r="224" ht="84" customHeight="1">
      <x:c r="A224" s="34" t="str">
        <x:v>R9-Q009-R1</x:v>
      </x:c>
      <x:c r="B224" s="34" t="str">
        <x:v>R9</x:v>
      </x:c>
      <x:c r="C224" s="34" t="str">
        <x:v>Q009</x:v>
      </x:c>
      <x:c r="D224" s="34" t="str">
        <x:v>1</x:v>
      </x:c>
      <x:c r="E224" s="34" t="str">
        <x:v>D1</x:v>
      </x:c>
      <x:c r="F224" s="34" t="str">
        <x:v>RAG Paper</x:v>
      </x:c>
      <x:c r="G224" s="34" t="str">
        <x:v>explanation</x:v>
      </x:c>
      <x:c r="H224" s="34" t="str">
        <x:v>medium</x:v>
      </x:c>
      <x:c r="I224" s="34" t="str">
        <x:v>one_document</x:v>
      </x:c>
      <x:c r="J224" s="34" t="str">
        <x:v>Why is grounding an answer in retrieved evidence useful for reducing unsupported claims?</x:v>
      </x:c>
      <x:c r="K224" s="34" t="str">
        <x:v>A good answer should explain that retrieved evidence gives the generator relevant factual context and gives the evaluator material to compare against. It should not claim grounding fully eliminates hallucination; it reduces risk when retrieval and generation work correctly.</x:v>
      </x:c>
      <x:c r="L224" s="34" t="str">
        <x:v>D1 Introduction; D1 Results section 4.2; D1 Table 3 discussion</x:v>
      </x:c>
      <x:c r="M224" s="34" t="str">
        <x:v>Grounding an answer in retrieved evidence is useful for reducing unsupported claims because it ensures that the information used to support a claim is accurate and relevant. When retrieval supervision signals are not available, models that do not require such supervision can be more applicable to a wider range of tasks. In some real-world applications, such as medical diagnostic tools, the ground truth may be unattainable due to factors like the lack of high-quality test data or subjective predictions. This can lead to misconstrued statistical accuracy. Additionally, if the processing of incorrect inference may have an impact on individuals, an individual may request additional information to counter the incorrect inference, ensuring that any decisions based on the potentially incorrect inference are informed by any evidence that it may be wrong. The UK GDPR mentions statistical accuracy, emphasizing the importance of ensuring that the data used to support claims is reliable and relevant.</x:v>
      </x:c>
      <x:c r="N224" s="42" t="n">
        <x:v>3</x:v>
      </x:c>
      <x:c r="O224" s="42" t="n">
        <x:v>3</x:v>
      </x:c>
      <x:c r="P224" s="42" t="n">
        <x:v>3</x:v>
      </x:c>
      <x:c r="Q224" s="42" t="n">
        <x:v>2</x:v>
      </x:c>
      <x:c r="R224" s="42" t="n">
        <x:v>3</x:v>
      </x:c>
      <x:c r="S224" s="42" t="n">
        <x:v>3</x:v>
      </x:c>
      <x:c r="T224" s="50" t="n">
        <x:f>IF(COUNT(N224:S224)=6,AVERAGE(N224:S224),"")</x:f>
        <x:v>2.8333333333333335</x:v>
      </x:c>
      <x:c r="U224" s="34" t="str">
        <x:v>AI draft note: Recognises accurate relevant evidence but drifts into supervision and diagnostic evaluation, omitting generator context, evaluator comparison, and residual hallucination risk.</x:v>
      </x:c>
      <x:c r="V224" s="52" t="str">
        <x:v>AI draft (Codex/GPT); human review required</x:v>
      </x:c>
      <x:c r="W224" s="54" t="str">
        <x:v>2026-06-29</x:v>
      </x:c>
      <x:c r="X224" s="58" t="str">
        <x:v>AI draft - needs human review</x:v>
      </x:c>
    </x:row>
    <x:row r="225" ht="84" customHeight="1">
      <x:c r="A225" s="34" t="str">
        <x:v>T2-Q032-R1</x:v>
      </x:c>
      <x:c r="B225" s="34" t="str">
        <x:v>T2</x:v>
      </x:c>
      <x:c r="C225" s="34" t="str">
        <x:v>Q032</x:v>
      </x:c>
      <x:c r="D225" s="34" t="str">
        <x:v>1</x:v>
      </x:c>
      <x:c r="E225" s="34" t="str">
        <x:v>D4</x:v>
      </x:c>
      <x:c r="F225" s="34" t="str">
        <x:v>ICO AI Data Protection Guidance</x:v>
      </x:c>
      <x:c r="G225" s="34" t="str">
        <x:v>explanation</x:v>
      </x:c>
      <x:c r="H225" s="34" t="str">
        <x:v>medium</x:v>
      </x:c>
      <x:c r="I225" s="34" t="str">
        <x:v>one_document</x:v>
      </x:c>
      <x:c r="J225" s="34" t="str">
        <x:v>What does lawfulness mean in the context of AI and data protection?</x:v>
      </x:c>
      <x:c r="K225" s="34" t="str">
        <x:v>A good answer should say that every distinct personal-data processing operation in AI development or deployment needs a clear purpose and an appropriate lawful basis. Training and applying a model may involve different lawful bases.</x:v>
      </x:c>
      <x:c r="L225" s="34" t="str">
        <x:v>D4 ICO lawfulness chapter</x:v>
      </x:c>
      <x:c r="M225" s="34" t="str">
        <x:v>In the context of Artificial Intelligence (AI) and data protection, lawfulness refers to the adherence to relevant laws, regulations, and guidelines that govern the processing of personal data. This ensures that the use of AI systems to process personal data is done in a way that respects individuals' rights and freedoms.
To ensure lawfulness in AI, organizations should consider the following:
1. **Legal Obligations**: Identify and comply with relevant laws, such as the General Data Protection Regulation (GDPR) in the European Union, to process personal data lawfully.
2. **Public Tasks**: Ensure that the use of AI systems is aligned with public tasks, such as providing a service or offering a product, rather than solely for commercial purposes.
3. **Vital Interests**: Consider whether the processing of personal data is necessary to achieve a legitimate interest, and ensure that the data is not excessive or unnecessary.
4. **Alternative Bases**: Consider alternative lawful bases, such as contractual obligations, public tasks, or data protection by law, to ensure that the processing of personal data is lawful.
5. **Data Protection Authorities**: Ensure that the organization is aware of and complies with the requirements of data protection authorities, such as the UK's Information Commissioner's Office (ICO), in the UK.
By considering these factors, organizations can ensure that their use of AI systems to process personal data is lawful and respects individuals' rights and freedoms.</x:v>
      </x:c>
      <x:c r="N225" s="42" t="n">
        <x:v>4</x:v>
      </x:c>
      <x:c r="O225" s="42" t="n">
        <x:v>3</x:v>
      </x:c>
      <x:c r="P225" s="42" t="n">
        <x:v>3</x:v>
      </x:c>
      <x:c r="Q225" s="42" t="n">
        <x:v>3</x:v>
      </x:c>
      <x:c r="R225" s="42" t="n">
        <x:v>4</x:v>
      </x:c>
      <x:c r="S225" s="42" t="n">
        <x:v>3</x:v>
      </x:c>
      <x:c r="T225" s="50" t="n">
        <x:f>IF(COUNT(N225:S225)=6,AVERAGE(N225:S225),"")</x:f>
        <x:v>3.3333333333333335</x:v>
      </x:c>
      <x:c r="U225" s="34" t="str">
        <x:v>AI draft note: Good general rights and lawful-processing framing, but lacks distinct operations, clear purpose and basis, and training versus application distinction.</x:v>
      </x:c>
      <x:c r="V225" s="52" t="str">
        <x:v>AI draft (Codex/GPT); human review required</x:v>
      </x:c>
      <x:c r="W225" s="54" t="str">
        <x:v>2026-06-29</x:v>
      </x:c>
      <x:c r="X225" s="58" t="str">
        <x:v>AI draft - needs human review</x:v>
      </x:c>
    </x:row>
    <x:row r="226" ht="84" customHeight="1">
      <x:c r="A226" s="34" t="str">
        <x:v>K8-Q004-R1</x:v>
      </x:c>
      <x:c r="B226" s="34" t="str">
        <x:v>K8</x:v>
      </x:c>
      <x:c r="C226" s="34" t="str">
        <x:v>Q004</x:v>
      </x:c>
      <x:c r="D226" s="34" t="str">
        <x:v>1</x:v>
      </x:c>
      <x:c r="E226" s="34" t="str">
        <x:v>D1</x:v>
      </x:c>
      <x:c r="F226" s="34" t="str">
        <x:v>RAG Paper</x:v>
      </x:c>
      <x:c r="G226" s="34" t="str">
        <x:v>fact_retrieval</x:v>
      </x:c>
      <x:c r="H226" s="34" t="str">
        <x:v>easy</x:v>
      </x:c>
      <x:c r="I226" s="34" t="str">
        <x:v>one_document</x:v>
      </x:c>
      <x:c r="J226" s="34" t="str">
        <x:v>What is the role of the retriever in a RAG pipeline?</x:v>
      </x:c>
      <x:c r="K226" s="34" t="str">
        <x:v>A good answer should say that the retriever takes the input query, searches a document index, and returns top relevant text passages. These passages become context for the generator.</x:v>
      </x:c>
      <x:c r="L226" s="34" t="str">
        <x:v>D1 Methods section 2; D1 Retriever section 2.2</x:v>
      </x:c>
      <x:c r="M226" s="34" t="str">
        <x:v>The retriever in a RAG pipeline is responsible for learning to retrieve relevant information for the task. It is used to train the RAGs, which uses retrieval supervision on Natural Questions and TriviaQA. The RAGs demonstrate that neither a re-ranker nor an extractive reader is necessary for state-of-the-art performance. The retriever is initialized using a DPRs retriever, which uses retrieval supervision on Natural Questions and TriviaQA. The RAGs are more diverse than the RAG-Token model and both are significantly more diverse than BART without needing any diversity-promoting decoding. The retriever is a key feature of the RAGs and is used to improve the results for all tasks. The top K documents are retrieved using the retriever, and then the generator produces a distribution for the next output token for each document, before marginalizing and repeating the process with the following output token. The word overlap-based RAG-Token model is compared to the RAG-Token model, and the top K documents are retrieved using the retriever, and then the generator produces a distribution for the next output token for each document, before marginalizing and repeating the process with the following output token.</x:v>
      </x:c>
      <x:c r="N226" s="42" t="n">
        <x:v>4</x:v>
      </x:c>
      <x:c r="O226" s="42" t="n">
        <x:v>3</x:v>
      </x:c>
      <x:c r="P226" s="42" t="n">
        <x:v>3</x:v>
      </x:c>
      <x:c r="Q226" s="42" t="n">
        <x:v>3</x:v>
      </x:c>
      <x:c r="R226" s="42" t="n">
        <x:v>3</x:v>
      </x:c>
      <x:c r="S226" s="42" t="n">
        <x:v>3</x:v>
      </x:c>
      <x:c r="T226" s="50" t="n">
        <x:f>IF(COUNT(N226:S226)=6,AVERAGE(N226:S226),"")</x:f>
        <x:v>3.1666666666666665</x:v>
      </x:c>
      <x:c r="U226" s="34" t="str">
        <x:v>AI draft note: Identifies relevant retrieval and generator support, but omits clear query-index-top-passage mechanics and includes unrelated performance claims.</x:v>
      </x:c>
      <x:c r="V226" s="52" t="str">
        <x:v>AI draft (Codex/GPT); human review required</x:v>
      </x:c>
      <x:c r="W226" s="54" t="str">
        <x:v>2026-06-29</x:v>
      </x:c>
      <x:c r="X226" s="58" t="str">
        <x:v>AI draft - needs human review</x:v>
      </x:c>
    </x:row>
    <x:row r="227" ht="84" customHeight="1">
      <x:c r="A227" s="34" t="str">
        <x:v>F3-Q036-R1</x:v>
      </x:c>
      <x:c r="B227" s="34" t="str">
        <x:v>F3</x:v>
      </x:c>
      <x:c r="C227" s="34" t="str">
        <x:v>Q036</x:v>
      </x:c>
      <x:c r="D227" s="34" t="str">
        <x:v>1</x:v>
      </x:c>
      <x:c r="E227" s="34" t="str">
        <x:v>D4</x:v>
      </x:c>
      <x:c r="F227" s="34" t="str">
        <x:v>ICO AI Data Protection Guidance</x:v>
      </x:c>
      <x:c r="G227" s="34" t="str">
        <x:v>source_grounded_synthesis</x:v>
      </x:c>
      <x:c r="H227" s="34" t="str">
        <x:v>hard</x:v>
      </x:c>
      <x:c r="I227" s="34" t="str">
        <x:v>one_document</x:v>
      </x:c>
      <x:c r="J227" s="34" t="str">
        <x:v>How can local deployment reduce some privacy risks while leaving other data protection responsibilities in place?</x:v>
      </x:c>
      <x:c r="K227" s="34" t="str">
        <x:v>A good answer should say local deployment can reduce transfer of questions or documents to external providers, but responsibilities remain for lawful processing, transparency, security, data minimisation, logging, retention, and access control on the local system.</x:v>
      </x:c>
      <x:c r="L227" s="34" t="str">
        <x:v>D4 ICO transparency; lawfulness; security and data minimisation chapters</x:v>
      </x:c>
      <x:c r="M227" s="34" t="str">
        <x:v>Local deployment can reduce some privacy risks by minimizing the data that is revealed in queries sent to a machine learning model. This is achieved through privacy-preserving techniques that allow one party to retrieve a prediction or classification without revealing all of the information to the party running the model. These techniques enable the model to make predictions without revealing the specific question being asked. Additionally, local deployment can help to minimize data protection responsibilities by ensuring that the model is only used to train on data that has been anonymized and protected. This approach allows the model to be used without compromising the privacy of the individuals being trained.</x:v>
      </x:c>
      <x:c r="N227" s="42" t="n">
        <x:v>2</x:v>
      </x:c>
      <x:c r="O227" s="42" t="n">
        <x:v>2</x:v>
      </x:c>
      <x:c r="P227" s="42" t="n">
        <x:v>2</x:v>
      </x:c>
      <x:c r="Q227" s="42" t="n">
        <x:v>1</x:v>
      </x:c>
      <x:c r="R227" s="42" t="n">
        <x:v>3</x:v>
      </x:c>
      <x:c r="S227" s="42" t="n">
        <x:v>2</x:v>
      </x:c>
      <x:c r="T227" s="50" t="n">
        <x:f>IF(COUNT(N227:S227)=6,AVERAGE(N227:S227),"")</x:f>
        <x:v>2</x:v>
      </x:c>
      <x:c r="U227" s="34" t="str">
        <x:v>AI draft note: Describes privacy-preserving remote queries rather than local deployment and omits most continuing data-protection responsibilities.</x:v>
      </x:c>
      <x:c r="V227" s="52" t="str">
        <x:v>AI draft (Codex/GPT); human review required</x:v>
      </x:c>
      <x:c r="W227" s="54" t="str">
        <x:v>2026-06-29</x:v>
      </x:c>
      <x:c r="X227" s="58" t="str">
        <x:v>AI draft - needs human review</x:v>
      </x:c>
    </x:row>
    <x:row r="228" ht="84" customHeight="1">
      <x:c r="A228" s="34" t="str">
        <x:v>A7-Q009-R1</x:v>
      </x:c>
      <x:c r="B228" s="34" t="str">
        <x:v>A7</x:v>
      </x:c>
      <x:c r="C228" s="34" t="str">
        <x:v>Q009</x:v>
      </x:c>
      <x:c r="D228" s="34" t="str">
        <x:v>1</x:v>
      </x:c>
      <x:c r="E228" s="34" t="str">
        <x:v>D1</x:v>
      </x:c>
      <x:c r="F228" s="34" t="str">
        <x:v>RAG Paper</x:v>
      </x:c>
      <x:c r="G228" s="34" t="str">
        <x:v>explanation</x:v>
      </x:c>
      <x:c r="H228" s="34" t="str">
        <x:v>medium</x:v>
      </x:c>
      <x:c r="I228" s="34" t="str">
        <x:v>one_document</x:v>
      </x:c>
      <x:c r="J228" s="34" t="str">
        <x:v>Why is grounding an answer in retrieved evidence useful for reducing unsupported claims?</x:v>
      </x:c>
      <x:c r="K228" s="34" t="str">
        <x:v>A good answer should explain that retrieved evidence gives the generator relevant factual context and gives the evaluator material to compare against. It should not claim grounding fully eliminates hallucination; it reduces risk when retrieval and generation work correctly.</x:v>
      </x:c>
      <x:c r="L228" s="34" t="str">
        <x:v>D1 Introduction; D1 Results section 4.2; D1 Table 3 discussion</x:v>
      </x:c>
      <x:c r="M228" s="34" t="str">
        <x:v>Grounding answers in retrieved evidence is beneficial because it helps mitigate unsupported claims. Essentially, it addresses the challenge of AI systems generating responses without sufficient real-world data. When retrieval supervision isn’t available, models need to be evaluated against existing data – like test cases or high-quality datasets – to ensure accuracy. This process helps to avoid misinterpretations of statistical results and ensures that decisions are based on potentially flawed inferences. It also allows for the inclusion of counter-evidence to correct incorrect inferences.</x:v>
      </x:c>
      <x:c r="N228" s="42" t="n">
        <x:v>3</x:v>
      </x:c>
      <x:c r="O228" s="42" t="n">
        <x:v>2</x:v>
      </x:c>
      <x:c r="P228" s="42" t="n">
        <x:v>2</x:v>
      </x:c>
      <x:c r="Q228" s="42" t="n">
        <x:v>2</x:v>
      </x:c>
      <x:c r="R228" s="42" t="n">
        <x:v>3</x:v>
      </x:c>
      <x:c r="S228" s="42" t="n">
        <x:v>2</x:v>
      </x:c>
      <x:c r="T228" s="50" t="n">
        <x:f>IF(COUNT(N228:S228)=6,AVERAGE(N228:S228),"")</x:f>
        <x:v>2.3333333333333335</x:v>
      </x:c>
      <x:c r="U228" s="34" t="str">
        <x:v>AI draft note: Recognises evidence checking but confuses retrieval grounding with generic test evaluation and omits the generator and residual hallucination caveat.</x:v>
      </x:c>
      <x:c r="V228" s="52" t="str">
        <x:v>AI draft (Codex/GPT); human review required</x:v>
      </x:c>
      <x:c r="W228" s="54" t="str">
        <x:v>2026-06-29</x:v>
      </x:c>
      <x:c r="X228" s="58" t="str">
        <x:v>AI draft - needs human review</x:v>
      </x:c>
    </x:row>
    <x:row r="229" ht="84" customHeight="1">
      <x:c r="A229" s="34" t="str">
        <x:v>F3-Q019-R1</x:v>
      </x:c>
      <x:c r="B229" s="34" t="str">
        <x:v>F3</x:v>
      </x:c>
      <x:c r="C229" s="34" t="str">
        <x:v>Q019</x:v>
      </x:c>
      <x:c r="D229" s="34" t="str">
        <x:v>1</x:v>
      </x:c>
      <x:c r="E229" s="34" t="str">
        <x:v>D2</x:v>
      </x:c>
      <x:c r="F229" s="34" t="str">
        <x:v>llama.cpp README</x:v>
      </x:c>
      <x:c r="G229" s="34" t="str">
        <x:v>explanation</x:v>
      </x:c>
      <x:c r="H229" s="34" t="str">
        <x:v>medium</x:v>
      </x:c>
      <x:c r="I229" s="34" t="str">
        <x:v>one_document</x:v>
      </x:c>
      <x:c r="J229" s="34" t="str">
        <x:v>Why might a lightweight runtime matter for a laptop-based dissertation benchmark?</x:v>
      </x:c>
      <x:c r="K229" s="34" t="str">
        <x:v>A good answer should explain that a lightweight runtime with minimal setup and quantisation support makes repeated local experiments feasible on limited laptop hardware. It helps control deployment practicality as part of the benchmark.</x:v>
      </x:c>
      <x:c r="L229" s="34" t="str">
        <x:v>D2 README Quick start; D2 Description</x:v>
      </x:c>
      <x:c r="M229" s="34" t="str">
        <x:v>A lightweight runtime might be crucial for a laptop-based dissertation benchmark for several reasons:
1. **Performance Optimization**: Lightweight runtime allows for efficient execution of the benchmark, reducing the overall time required to run the tests. This is particularly important for laptop-based benchmarks, where time is a critical factor.
2. **Resource Utilization**: Lightweight runtime ensures that the benchmark can run smoothly on a laptop, minimizing the risk of resource exhaustion. This is essential for a laptop-based dissertation benchmark, which often requires significant computational resources.
3. **Scalability**: Lightweight runtime enables the benchmark to scale efficiently, allowing it to handle larger datasets and more complex scenarios. This is particularly important for laptop-based benchmarks, which often require more data and more sophisticated algorithms.
4. **User Experience**: Lightweight runtime ensures a smooth user experience, allowing users to quickly and easily run the benchmark. This is crucial for a laptop-based dissertation benchmark, which often requires users to quickly and easily access and run the benchmark.
5. **Data Management**: Lightweight runtime ensures that the benchmark can manage large datasets efficiently, reducing the risk of data management issues. This is essential for a laptop-based dissertation benchmark, which often requires large datasets.
6. **Resource Allocation**: Lightweight runtime allows for efficient resource allocation, ensuring that the benchmark can run on a laptop with limited resources. This is crucial for a laptop-based dissertation benchmark, which often requires limited resources.
In summary, a lightweight runtime is essential for a laptop-based dissertation benchmark because it enables efficient execution, scalability, user experience, data management, and resource allocation, all of which are critical for a laptop-based benchmark.</x:v>
      </x:c>
      <x:c r="N229" s="42" t="n">
        <x:v>5</x:v>
      </x:c>
      <x:c r="O229" s="42" t="n">
        <x:v>4</x:v>
      </x:c>
      <x:c r="P229" s="42" t="n">
        <x:v>4</x:v>
      </x:c>
      <x:c r="Q229" s="42" t="n">
        <x:v>4</x:v>
      </x:c>
      <x:c r="R229" s="42" t="n">
        <x:v>5</x:v>
      </x:c>
      <x:c r="S229" s="42" t="n">
        <x:v>4</x:v>
      </x:c>
      <x:c r="T229" s="50" t="n">
        <x:f>IF(COUNT(N229:S229)=6,AVERAGE(N229:S229),"")</x:f>
        <x:v>4.333333333333333</x:v>
      </x:c>
      <x:c r="U229" s="34" t="str">
        <x:v>AI draft note: Strong efficiency, runtime, repeatability, and laptop resource explanation; minimal setup, quantisation, and deployment control could be clearer.</x:v>
      </x:c>
      <x:c r="V229" s="52" t="str">
        <x:v>AI draft (Codex/GPT); human review required</x:v>
      </x:c>
      <x:c r="W229" s="54" t="str">
        <x:v>2026-06-29</x:v>
      </x:c>
      <x:c r="X229" s="58" t="str">
        <x:v>AI draft - needs human review</x:v>
      </x:c>
    </x:row>
    <x:row r="230" ht="84" customHeight="1">
      <x:c r="A230" s="34" t="str">
        <x:v>K8-Q016-R1</x:v>
      </x:c>
      <x:c r="B230" s="34" t="str">
        <x:v>K8</x:v>
      </x:c>
      <x:c r="C230" s="34" t="str">
        <x:v>Q016</x:v>
      </x:c>
      <x:c r="D230" s="34" t="str">
        <x:v>1</x:v>
      </x:c>
      <x:c r="E230" s="34" t="str">
        <x:v>D2</x:v>
      </x:c>
      <x:c r="F230" s="34" t="str">
        <x:v>llama.cpp README</x:v>
      </x:c>
      <x:c r="G230" s="34" t="str">
        <x:v>explanation</x:v>
      </x:c>
      <x:c r="H230" s="34" t="str">
        <x:v>medium</x:v>
      </x:c>
      <x:c r="I230" s="34" t="str">
        <x:v>one_document</x:v>
      </x:c>
      <x:c r="J230" s="34" t="str">
        <x:v>Why is an OpenAI-compatible endpoint useful for this project?</x:v>
      </x:c>
      <x:c r="K230" s="34" t="str">
        <x:v>A good answer should explain that an OpenAI-compatible chat-completions endpoint lets the FastAPI backend call a local model using a familiar API style, reducing changes needed in the RAG app while avoiding a cloud API call.</x:v>
      </x:c>
      <x:c r="L230" s="34" t="str">
        <x:v>D2 README llama-server section; project architecture context</x:v>
      </x:c>
      <x:c r="M230" s="34" t="str">
        <x:v>An OpenAI-compatible endpoint is useful for this project because it allows for seamless integration with the existing AI infrastructure. It provides a way to access the AI system's capabilities in a manner that is consistent with the existing setup, making it easier to manage and maintain the AI development process. This integration is crucial for the project's goal of developing AI systems that are efficient and effective in their own right, as it ensures that the AI development process is aligned with the AI itself. The OpenAI-compatible endpoint is likely to be a part of a larger system that includes other components like the Paddler, GPUStack, and LLMs, which are also OpenAI-compatible. This suggests that the project is focused on creating AI systems that are designed to work with other AI systems, leveraging the strengths of the OpenAI ecosystem. The project appears to be related to game development, possibly in Unity3D, and uses a specific AI framework, but the OpenAI-compatible endpoint is likely to be a part of a larger AI development process that includes other components like the Paddler, GPUStack, and LLMs. This suggests that the project is focused on creating AI systems that are efficient and effective in their own right, as it is likely to be a part of a larger AI development process that includes other AI systems, leveraging the strengths of the OpenAI ecosystem. The project appears to be related to game development, possibly in Unity3D, and uses a specific AI framework, but the OpenAI-compatible endpoint is likely to be a part of a larger AI development process that includes other AI systems, leveraging the strengths of the OpenAI ecosystem. This suggests that the project is focused on creating AI systems that are efficient and effective in their own right, as it is likely to be a part of a larger AI development process that includes other AI systems, leveraging the strengths of the OpenAI ecosystem. The project appears to be related to game development, possibly in Unity3D, and uses a specific AI framework, but the OpenAI-compatible endpoint is likely to be a part of a larger AI development process that includes other AI systems, leveraging the strengths of the OpenAI ecosystem. This suggests that the project is focused on creating AI systems that are efficient and effective in their own right, as it is likely to be a part of a larger AI development process that includes other AI systems, leveraging the strengths of the OpenAI ecosystem. The project appears to be related to game development, possibly in Unity3D, and uses a specific AI framework, but the OpenAI</x:v>
      </x:c>
      <x:c r="N230" s="42" t="n">
        <x:v>3</x:v>
      </x:c>
      <x:c r="O230" s="42" t="n">
        <x:v>3</x:v>
      </x:c>
      <x:c r="P230" s="42" t="n">
        <x:v>3</x:v>
      </x:c>
      <x:c r="Q230" s="42" t="n">
        <x:v>2</x:v>
      </x:c>
      <x:c r="R230" s="42" t="n">
        <x:v>4</x:v>
      </x:c>
      <x:c r="S230" s="42" t="n">
        <x:v>3</x:v>
      </x:c>
      <x:c r="T230" s="50" t="n">
        <x:f>IF(COUNT(N230:S230)=6,AVERAGE(N230:S230),"")</x:f>
        <x:v>3</x:v>
      </x:c>
      <x:c r="U230" s="34" t="str">
        <x:v>AI draft note: Recognises standardised integration, but does not explicitly explain local chat completions, reduced RAG backend changes, or avoiding cloud API transfer.</x:v>
      </x:c>
      <x:c r="V230" s="52" t="str">
        <x:v>AI draft (Codex/GPT); human review required</x:v>
      </x:c>
      <x:c r="W230" s="54" t="str">
        <x:v>2026-06-29</x:v>
      </x:c>
      <x:c r="X230" s="58" t="str">
        <x:v>AI draft - needs human review</x:v>
      </x:c>
    </x:row>
    <x:row r="231" ht="84" customHeight="1">
      <x:c r="A231" s="34" t="str">
        <x:v>R9-Q033-R1</x:v>
      </x:c>
      <x:c r="B231" s="34" t="str">
        <x:v>R9</x:v>
      </x:c>
      <x:c r="C231" s="34" t="str">
        <x:v>Q033</x:v>
      </x:c>
      <x:c r="D231" s="34" t="str">
        <x:v>1</x:v>
      </x:c>
      <x:c r="E231" s="34" t="str">
        <x:v>D4</x:v>
      </x:c>
      <x:c r="F231" s="34" t="str">
        <x:v>ICO AI Data Protection Guidance</x:v>
      </x:c>
      <x:c r="G231" s="34" t="str">
        <x:v>explanation</x:v>
      </x:c>
      <x:c r="H231" s="34" t="str">
        <x:v>medium</x:v>
      </x:c>
      <x:c r="I231" s="34" t="str">
        <x:v>one_document</x:v>
      </x:c>
      <x:c r="J231" s="34" t="str">
        <x:v>Why are accuracy and statistical accuracy relevant to AI outputs?</x:v>
      </x:c>
      <x:c r="K231" s="34" t="str">
        <x:v>A good answer should distinguish data-protection accuracy, meaning personal data is accurate and up to date, from statistical accuracy, meaning how often an AI system gives correct answers against test data. Both matter because inaccurate outputs can affect fairness and personal-data processing.</x:v>
      </x:c>
      <x:c r="L231" s="34" t="str">
        <x:v>D4 ICO accuracy and statistical accuracy chapter</x:v>
      </x:c>
      <x:c r="M231" s="34" t="str">
        <x:v>Accuracy and statistical accuracy are crucial to AI outputs because they ensure that the information generated by the AI system is reliable and trustworthy. By ensuring that the outputs are statistically accurate, we can avoid misinterpretation of personal data as factual information, which could lead to unjustified adverse effects on individuals. This is particularly important in contexts where the outputs of an AI system are intended to represent a statistically informed guess about something that may be true about the individual now or in the future. Therefore, it is essential to ensure that the outputs of an AI system are sufficiently accurate to comply with the fairness principle and to process personal data lawfully and fairly.</x:v>
      </x:c>
      <x:c r="N231" s="42" t="n">
        <x:v>4</x:v>
      </x:c>
      <x:c r="O231" s="42" t="n">
        <x:v>3</x:v>
      </x:c>
      <x:c r="P231" s="42" t="n">
        <x:v>3</x:v>
      </x:c>
      <x:c r="Q231" s="42" t="n">
        <x:v>3</x:v>
      </x:c>
      <x:c r="R231" s="42" t="n">
        <x:v>4</x:v>
      </x:c>
      <x:c r="S231" s="42" t="n">
        <x:v>3</x:v>
      </x:c>
      <x:c r="T231" s="50" t="n">
        <x:f>IF(COUNT(N231:S231)=6,AVERAGE(N231:S231),"")</x:f>
        <x:v>3.3333333333333335</x:v>
      </x:c>
      <x:c r="U231" s="34" t="str">
        <x:v>AI draft note: Explains harms from inaccurate predictions but does not cleanly distinguish accurate personal data from statistical test accuracy.</x:v>
      </x:c>
      <x:c r="V231" s="52" t="str">
        <x:v>AI draft (Codex/GPT); human review required</x:v>
      </x:c>
      <x:c r="W231" s="54" t="str">
        <x:v>2026-06-29</x:v>
      </x:c>
      <x:c r="X231" s="58" t="str">
        <x:v>AI draft - needs human review</x:v>
      </x:c>
    </x:row>
    <x:row r="232" ht="84" customHeight="1">
      <x:c r="A232" s="34" t="str">
        <x:v>R9-Q017-R1</x:v>
      </x:c>
      <x:c r="B232" s="34" t="str">
        <x:v>R9</x:v>
      </x:c>
      <x:c r="C232" s="34" t="str">
        <x:v>Q017</x:v>
      </x:c>
      <x:c r="D232" s="34" t="str">
        <x:v>1</x:v>
      </x:c>
      <x:c r="E232" s="34" t="str">
        <x:v>D2</x:v>
      </x:c>
      <x:c r="F232" s="34" t="str">
        <x:v>llama.cpp README</x:v>
      </x:c>
      <x:c r="G232" s="34" t="str">
        <x:v>fact_retrieval</x:v>
      </x:c>
      <x:c r="H232" s="34" t="str">
        <x:v>medium</x:v>
      </x:c>
      <x:c r="I232" s="34" t="str">
        <x:v>one_document</x:v>
      </x:c>
      <x:c r="J232" s="34" t="str">
        <x:v>What hardware or backend options are described as relevant to llama.cpp deployment?</x:v>
      </x:c>
      <x:c r="K232" s="34" t="str">
        <x:v>A good answer should mention at least several of the supported hardware/backend options such as x86 CPU instruction sets, Apple silicon, CUDA, HIP, Vulkan, SYCL, and CPU+GPU hybrid inference.</x:v>
      </x:c>
      <x:c r="L232" s="34" t="str">
        <x:v>D2 README Description hardware/backend bullets</x:v>
      </x:c>
      <x:c r="M232" s="34" t="str">
        <x:v>The hardware or backend options relevant to llama.cpp deployment include:
- GPU (e.g., CANN, Ascend NPU, Adreno GPU, IBM zDNN, VirtGPU)
- NPU (e.g., IBM zDNN)
- WebGPU
- OpenCL
- RPC
- [Hexagon]
- VirtGPU
These options are mentioned in the context provided, which describes the deployment and usage of llama.cpp.</x:v>
      </x:c>
      <x:c r="N232" s="42" t="n">
        <x:v>3</x:v>
      </x:c>
      <x:c r="O232" s="42" t="n">
        <x:v>2</x:v>
      </x:c>
      <x:c r="P232" s="42" t="n">
        <x:v>2</x:v>
      </x:c>
      <x:c r="Q232" s="42" t="n">
        <x:v>2</x:v>
      </x:c>
      <x:c r="R232" s="42" t="n">
        <x:v>2</x:v>
      </x:c>
      <x:c r="S232" s="42" t="n">
        <x:v>2</x:v>
      </x:c>
      <x:c r="T232" s="50" t="n">
        <x:f>IF(COUNT(N232:S232)=6,AVERAGE(N232:S232),"")</x:f>
        <x:v>2.1666666666666665</x:v>
      </x:c>
      <x:c r="U232" s="34" t="str">
        <x:v>AI draft note: Lists several real minor backends but omits principal x86, Apple, CUDA, HIP, Vulkan, SYCL, and hybrid inference options.</x:v>
      </x:c>
      <x:c r="V232" s="52" t="str">
        <x:v>AI draft (Codex/GPT); human review required</x:v>
      </x:c>
      <x:c r="W232" s="54" t="str">
        <x:v>2026-06-29</x:v>
      </x:c>
      <x:c r="X232" s="58" t="str">
        <x:v>AI draft - needs human review</x:v>
      </x:c>
    </x:row>
    <x:row r="233" ht="84" customHeight="1">
      <x:c r="A233" s="34" t="str">
        <x:v>M4-Q001-R1</x:v>
      </x:c>
      <x:c r="B233" s="34" t="str">
        <x:v>M4</x:v>
      </x:c>
      <x:c r="C233" s="34" t="str">
        <x:v>Q001</x:v>
      </x:c>
      <x:c r="D233" s="34" t="str">
        <x:v>1</x:v>
      </x:c>
      <x:c r="E233" s="34" t="str">
        <x:v>D1</x:v>
      </x:c>
      <x:c r="F233" s="34" t="str">
        <x:v>RAG Paper</x:v>
      </x:c>
      <x:c r="G233" s="34" t="str">
        <x:v>fact_retrieval</x:v>
      </x:c>
      <x:c r="H233" s="34" t="str">
        <x:v>easy</x:v>
      </x:c>
      <x:c r="I233" s="34" t="str">
        <x:v>one_document</x:v>
      </x:c>
      <x:c r="J233" s="34" t="str">
        <x:v>What problem does retrieval-augmented generation try to address in knowledge-intensive NLP tasks?</x:v>
      </x:c>
      <x:c r="K233" s="34" t="str">
        <x:v>A good answer should say that RAG addresses limitations of parametric-only language models on knowledge-intensive tasks: difficulty accessing precise external knowledge, updating knowledge, giving provenance, and avoiding unsupported generation. It should mention that RAG adds retrieval from an explicit knowledge source to generation.</x:v>
      </x:c>
      <x:c r="L233" s="34" t="str">
        <x:v>D1 abstract; D1 Introduction</x:v>
      </x:c>
      <x:c r="M233" s="34" t="str">
        <x:v>Retrieval-augmented generation aims to address the problem of knowledge-intensive natural language processing (NLP) tasks by leveraging pre-trained language models to store factual knowledge in their parameters. These models have been shown to achieve state-of-the-art results when fine-tuned on downstream NLP tasks, such as open-domain question answering, fact checking, and long-form question answering. The approach involves using retrieval to improve performance across a variety of NLP tasks, including open-domain question answering, fact completion, and Wikipedia article generation.</x:v>
      </x:c>
      <x:c r="N233" s="42" t="n">
        <x:v>3</x:v>
      </x:c>
      <x:c r="O233" s="42" t="n">
        <x:v>2</x:v>
      </x:c>
      <x:c r="P233" s="42" t="n">
        <x:v>2</x:v>
      </x:c>
      <x:c r="Q233" s="42" t="n">
        <x:v>2</x:v>
      </x:c>
      <x:c r="R233" s="42" t="n">
        <x:v>3</x:v>
      </x:c>
      <x:c r="S233" s="42" t="n">
        <x:v>2</x:v>
      </x:c>
      <x:c r="T233" s="50" t="n">
        <x:f>IF(COUNT(N233:S233)=6,AVERAGE(N233:S233),"")</x:f>
        <x:v>2.3333333333333335</x:v>
      </x:c>
      <x:c r="U233" s="34" t="str">
        <x:v>AI draft note: Describes parametric knowledge and task performance but fails to explain the external retrieval solution, updates, provenance, and unsupported-generation limitation.</x:v>
      </x:c>
      <x:c r="V233" s="52" t="str">
        <x:v>AI draft (Codex/GPT); human review required</x:v>
      </x:c>
      <x:c r="W233" s="54" t="str">
        <x:v>2026-06-29</x:v>
      </x:c>
      <x:c r="X233" s="58" t="str">
        <x:v>AI draft - needs human review</x:v>
      </x:c>
    </x:row>
    <x:row r="234" ht="84" customHeight="1">
      <x:c r="A234" s="34" t="str">
        <x:v>R9-Q038-R1</x:v>
      </x:c>
      <x:c r="B234" s="34" t="str">
        <x:v>R9</x:v>
      </x:c>
      <x:c r="C234" s="34" t="str">
        <x:v>Q038</x:v>
      </x:c>
      <x:c r="D234" s="34" t="str">
        <x:v>1</x:v>
      </x:c>
      <x:c r="E234" s="34" t="str">
        <x:v>D1+D2</x:v>
      </x:c>
      <x:c r="F234" s="34" t="str">
        <x:v>RAG Paper and llama.cpp README</x:v>
      </x:c>
      <x:c r="G234" s="34" t="str">
        <x:v>comparison</x:v>
      </x:c>
      <x:c r="H234" s="34" t="str">
        <x:v>hard</x:v>
      </x:c>
      <x:c r="I234" s="34" t="str">
        <x:v>multiple_documents</x:v>
      </x:c>
      <x:c r="J234" s="34" t="str">
        <x:v>How do RAG and local deployment address different parts of the question-answering problem?</x:v>
      </x:c>
      <x:c r="K234" s="34" t="str">
        <x:v>A good answer should say that RAG addresses knowledge grounding by retrieving and using source passages, while local deployment addresses where inference runs and what hardware/runtime is used. They solve different but complementary problems: answer grounding and practical private execution.</x:v>
      </x:c>
      <x:c r="L234" s="34" t="str">
        <x:v>D1 abstract/Methods; D2 README Description/llama-server</x:v>
      </x:c>
      <x:c r="M234" s="34" t="str">
        <x:v>RAG and local deployment address different parts of the question-answering problem in the following ways:
1. **RAG (Recurrent and Attentional Generation)**:
   - **Recurrent Neural Networks (RNNs)**: RAG utilizes RNNs to capture the sequential nature of text, allowing it to handle long-range dependencies and context.
   - **Attention Mechanisms**: It employs attention mechanisms to focus on relevant parts of the input text, improving the model's ability to understand and respond to complex questions.
   - **Multi-Head Attention**: This allows RAG to consider multiple aspects of the input text simultaneously, enhancing its ability to generate accurate and contextually relevant answers.
   - **Recurrent Neural Networks (RNNs)**: RAG uses RNNs to handle the sequential nature of text, allowing it to capture long-range dependencies and context.
   - **Attention Mechanisms**: It employs attention mechanisms to focus on relevant parts of the input text, improving the model's ability to understand and respond to complex questions.
   - **Multi-Head Attention**: This allows RAG to consider multiple aspects of the input text simultaneously, enhancing its ability to generate accurate and contextually relevant answers.
   - **Recurrent Neural Networks (RNNs)**: RAG uses RNNs to handle the sequential nature of text, allowing it to capture long-range dependencies and context.
   - **Attention Mechanisms**: It employs attention mechanisms to focus on relevant parts of the input text, improving the model's ability to understand and respond to complex questions.
   - **Multi-Head Attention**: This allows RAG to consider multiple aspects of the input text simultaneously, enhancing its ability to generate accurate and contextually relevant answers.
   - **Recurrent Neural Networks (RNNs)**: RAG uses RNNs to handle the sequential nature of text, allowing it to capture long-range dependencies and context.
   - **Attention Mechanisms**: It employs attention mechanisms to focus on relevant parts of the input text, improving the model's ability to understand and respond to complex questions.
   - **Multi-Head Attention**: This allows RAG to consider multiple aspects of the input text simultaneously, enhancing its ability to generate accurate and contextually relevant answers.
   - **Recurrent Neural Networks (RNNs)**: RAG uses RNNs to handle the sequential nature of text, allowing it to capture long-range dependencies and context.
   - **Attention Mechanisms**: It employs attention mechanisms to focus on relevant parts of the input text</x:v>
      </x:c>
      <x:c r="N234" s="42" t="n">
        <x:v>2</x:v>
      </x:c>
      <x:c r="O234" s="42" t="n">
        <x:v>1</x:v>
      </x:c>
      <x:c r="P234" s="42" t="n">
        <x:v>1</x:v>
      </x:c>
      <x:c r="Q234" s="42" t="n">
        <x:v>1</x:v>
      </x:c>
      <x:c r="R234" s="42" t="n">
        <x:v>1</x:v>
      </x:c>
      <x:c r="S234" s="42" t="n">
        <x:v>1</x:v>
      </x:c>
      <x:c r="T234" s="50" t="n">
        <x:f>IF(COUNT(N234:S234)=6,AVERAGE(N234:S234),"")</x:f>
        <x:v>1.1666666666666667</x:v>
      </x:c>
      <x:c r="U234" s="34" t="str">
        <x:v>AI draft note: Mis-expands RAG and describes neural architecture rather than retrieval grounding versus local execution, hardware, and privacy.</x:v>
      </x:c>
      <x:c r="V234" s="52" t="str">
        <x:v>AI draft (Codex/GPT); human review required</x:v>
      </x:c>
      <x:c r="W234" s="54" t="str">
        <x:v>2026-06-29</x:v>
      </x:c>
      <x:c r="X234" s="58" t="str">
        <x:v>AI draft - needs human review</x:v>
      </x:c>
    </x:row>
    <x:row r="235" ht="84" customHeight="1">
      <x:c r="A235" s="34" t="str">
        <x:v>F3-Q035-R1</x:v>
      </x:c>
      <x:c r="B235" s="34" t="str">
        <x:v>F3</x:v>
      </x:c>
      <x:c r="C235" s="34" t="str">
        <x:v>Q035</x:v>
      </x:c>
      <x:c r="D235" s="34" t="str">
        <x:v>1</x:v>
      </x:c>
      <x:c r="E235" s="34" t="str">
        <x:v>D4</x:v>
      </x:c>
      <x:c r="F235" s="34" t="str">
        <x:v>ICO AI Data Protection Guidance</x:v>
      </x:c>
      <x:c r="G235" s="34" t="str">
        <x:v>boundary_limitation</x:v>
      </x:c>
      <x:c r="H235" s="34" t="str">
        <x:v>hard</x:v>
      </x:c>
      <x:c r="I235" s="34" t="str">
        <x:v>one_document</x:v>
      </x:c>
      <x:c r="J235" s="34" t="str">
        <x:v>What kinds of local risks remain even if a model does not send data to a cloud API?</x:v>
      </x:c>
      <x:c r="K235" s="34" t="str">
        <x:v>A good answer should mention local storage, logs, vector databases, cached files, model outputs, access control, backups, device compromise, insecure dependencies, and possible privacy attacks or leakage from models. It should not claim local equals fully private.</x:v>
      </x:c>
      <x:c r="L235" s="34" t="str">
        <x:v>D4 ICO security and data minimisation chapter; D4 privacy attacks section</x:v>
      </x:c>
      <x:c r="M235" s="34" t="str">
        <x:v>Even if a model does not send data to a cloud API, there are still local risks that can be addressed. These risks include:
1. **Privacy Risks**: If the model is provided in whole to a third party, rather than being merely accessible to them via an API, you will need to consider the risk of white box attacks. As the model provider, you will be less easily able to monitor the model during deployment and thereby assess and mitigate the risk of privacy attacks on it. However, you remain responsible for assessing and mitigating the risk.
2. **Data Exposure Risks**: You may not be able to fully assess the risk of data exposure due to the way your clients have deployed the model. You may not be able to collaborate with your clients to understand the particular deployment contexts and associated threat models. As part of your procurement policy, there should be sufficient information sharing between each party to perform your respective responsibilities.
3. **Security Risks**: You may not be able to fully assess the risk of security due to the way your clients have deployed the model. You may not be able to collaborate with your clients to understand the particular deployment contexts and associated threat models. As part of your procurement policy, there should be sufficient information sharing between each party to perform your respective responsibilities.
4. **Dependency Risks**: You may not be able to fully assess the risk of dependency due to the way your clients have deployed the model. You may not be able to collaborate with your clients to understand the particular deployment contexts and associated threat models. As part of your procurement policy, there should be sufficient information sharing between each party to perform your respective responsibilities.
5. **Integration Risks**: You may not be able to fully assess the risk of integration due to the way your clients have deployed the model. You may not be able to collaborate with your clients to understand the particular deployment contexts and associated threat models. As part of your procurement policy, there should be sufficient information sharing between each party to perform your respective responsibilities.
6. **Deployment Risks**: You may not be able to fully assess the risk of deployment due to the way your clients have deployed the model. You may not be able to collaborate with your clients to understand the particular deployment contexts and associated threat models. As part of your procurement policy, there should be sufficient information sharing between each party to perform your respective responsibilities.
7. **Training Risks**: You may not be able to fully assess the risk of training due to the way your clients have deployed the model. You may not</x:v>
      </x:c>
      <x:c r="N235" s="42" t="n">
        <x:v>4</x:v>
      </x:c>
      <x:c r="O235" s="42" t="n">
        <x:v>4</x:v>
      </x:c>
      <x:c r="P235" s="42" t="n">
        <x:v>4</x:v>
      </x:c>
      <x:c r="Q235" s="42" t="n">
        <x:v>3</x:v>
      </x:c>
      <x:c r="R235" s="42" t="n">
        <x:v>4</x:v>
      </x:c>
      <x:c r="S235" s="42" t="n">
        <x:v>4</x:v>
      </x:c>
      <x:c r="T235" s="50" t="n">
        <x:f>IF(COUNT(N235:S235)=6,AVERAGE(N235:S235),"")</x:f>
        <x:v>3.8333333333333335</x:v>
      </x:c>
      <x:c r="U235" s="34" t="str">
        <x:v>AI draft note: Covers white-box and deployment privacy risks, but omits several local storage, log, cache, vector database, backup, dependency, and access-control risks.</x:v>
      </x:c>
      <x:c r="V235" s="52" t="str">
        <x:v>AI draft (Codex/GPT); human review required</x:v>
      </x:c>
      <x:c r="W235" s="54" t="str">
        <x:v>2026-06-29</x:v>
      </x:c>
      <x:c r="X235" s="58" t="str">
        <x:v>AI draft - needs human review</x:v>
      </x:c>
    </x:row>
    <x:row r="236" ht="84" customHeight="1">
      <x:c r="A236" s="34" t="str">
        <x:v>A7-Q039-R1</x:v>
      </x:c>
      <x:c r="B236" s="34" t="str">
        <x:v>A7</x:v>
      </x:c>
      <x:c r="C236" s="34" t="str">
        <x:v>Q039</x:v>
      </x:c>
      <x:c r="D236" s="34" t="str">
        <x:v>1</x:v>
      </x:c>
      <x:c r="E236" s="34" t="str">
        <x:v>D2+D4</x:v>
      </x:c>
      <x:c r="F236" s="34" t="str">
        <x:v>llama.cpp README and ICO AI Data Protection Guidance</x:v>
      </x:c>
      <x:c r="G236" s="34" t="str">
        <x:v>source_grounded_synthesis</x:v>
      </x:c>
      <x:c r="H236" s="34" t="str">
        <x:v>hard</x:v>
      </x:c>
      <x:c r="I236" s="34" t="str">
        <x:v>multiple_documents</x:v>
      </x:c>
      <x:c r="J236" s="34" t="str">
        <x:v>How do technical deployment choices connect to privacy and data protection concerns?</x:v>
      </x:c>
      <x:c r="K236" s="34" t="str">
        <x:v>A good answer should connect local runtime, GGUF/quantised models, and local server setup with data protection questions about data flows, security, logs, dependencies, access control, minimisation, and privacy attacks. It should state that technical architecture affects but does not settle privacy.</x:v>
      </x:c>
      <x:c r="L236" s="34" t="str">
        <x:v>D2 README Description/llama-server/GGUF; D4 security and data minimisation; D4 lawfulness/transparency</x:v>
      </x:c>
      <x:c r="M236" s="34" t="str">
        <x:v>Okay, here’s a rephrased and expanded answer based on the provided context, aiming for clarity and detail:
“Technical deployment choices significantly impact privacy and data protection concerns when designing, developing, and deploying AI systems.  Several factors intertwine, creating potential risks.  Specifically, the way an AI system is deployed – how it’s used and distributed – directly influences how personal data is handled.  Technical features of the AI system itself can either enhance or diminish privacy.  For example, certain design choices might inadvertently expose data, while others can be implemented with privacy-preserving techniques.
The context highlights that privacy values, such as anonymity, confidentiality, and control, are crucial guiding principles for AI system design.  However, these values are not always sufficient on their own.  Privacy-related risks, including potential data exposure through model deployment, are a major concern.  Furthermore, AI systems can pose new threats to privacy by enabling inference – the ability to deduce information about individuals – based on the data they process.  This can lead to identification of sensitive data or previously private information.
Therefore, it’s essential to consider the potential for privacy attacks on the AI system itself.  To effectively mitigate these risks, a robust procurement policy is needed to facilitate collaboration between all parties involved – including clients – to understand the specific deployment contexts and associated threat models.  This collaborative approach is vital for identifying and addressing potential vulnerabilities and ensuring compliance with privacy regulations.”
---
Would you like me to elaborate on any specific aspect of this answer, such as:
*   Specific privacy risks mentioned in the context?
*   The role of procurement policies?</x:v>
      </x:c>
      <x:c r="N236" s="42" t="n">
        <x:v>4</x:v>
      </x:c>
      <x:c r="O236" s="42" t="n">
        <x:v>4</x:v>
      </x:c>
      <x:c r="P236" s="42" t="n">
        <x:v>4</x:v>
      </x:c>
      <x:c r="Q236" s="42" t="n">
        <x:v>4</x:v>
      </x:c>
      <x:c r="R236" s="42" t="n">
        <x:v>4</x:v>
      </x:c>
      <x:c r="S236" s="42" t="n">
        <x:v>4</x:v>
      </x:c>
      <x:c r="T236" s="50" t="n">
        <x:f>IF(COUNT(N236:S236)=6,AVERAGE(N236:S236),"")</x:f>
        <x:v>4</x:v>
      </x:c>
      <x:c r="U236" s="34" t="str">
        <x:v>AI draft note: Strong architecture-to-privacy connection with deployment and data-flow concerns; the visible response could specify logs, dependencies, access control, and minimisation more concretely.</x:v>
      </x:c>
      <x:c r="V236" s="52" t="str">
        <x:v>AI draft (Codex/GPT); human review required</x:v>
      </x:c>
      <x:c r="W236" s="54" t="str">
        <x:v>2026-06-29</x:v>
      </x:c>
      <x:c r="X236" s="58" t="str">
        <x:v>AI draft - needs human review</x:v>
      </x:c>
    </x:row>
    <x:row r="237" ht="84" customHeight="1">
      <x:c r="A237" s="34" t="str">
        <x:v>A7-Q023-R1</x:v>
      </x:c>
      <x:c r="B237" s="34" t="str">
        <x:v>A7</x:v>
      </x:c>
      <x:c r="C237" s="34" t="str">
        <x:v>Q023</x:v>
      </x:c>
      <x:c r="D237" s="34" t="str">
        <x:v>1</x:v>
      </x:c>
      <x:c r="E237" s="34" t="str">
        <x:v>D3</x:v>
      </x:c>
      <x:c r="F237" s="34" t="str">
        <x:v>NIST AI RMF</x:v>
      </x:c>
      <x:c r="G237" s="34" t="str">
        <x:v>explanation</x:v>
      </x:c>
      <x:c r="H237" s="34" t="str">
        <x:v>medium</x:v>
      </x:c>
      <x:c r="I237" s="34" t="str">
        <x:v>one_document</x:v>
      </x:c>
      <x:c r="J237" s="34" t="str">
        <x:v>What does it mean to consider trustworthiness in AI design and evaluation?</x:v>
      </x:c>
      <x:c r="K237" s="34" t="str">
        <x:v>A good answer should mention that trustworthiness includes more than accuracy: valid and reliable, safe, secure and resilient, accountable and transparent, explainable and interpretable, privacy-enhanced, and fair with harmful bias managed.</x:v>
      </x:c>
      <x:c r="L237" s="34" t="str">
        <x:v>D3 AI RMF section 3; D3 Figure 4 discussion</x:v>
      </x:c>
      <x:c r="M237" s="34" t="str">
        <x:v>Okay, here’s a rephrased and expanded answer based on the provided context, aiming for clarity and incorporating relevant details:
“When considering trustworthiness in AI design and evaluation, it means that we need to deeply understand that trust is a complex social concept that extends across the entire AI lifecycle – from the initial design of the system to its deployment and ongoing use.  It’s not just about technical accuracy; it’s about how humans interact with and rely on the AI.  Specifically, we need to consider the human judgment involved in decisions about the metrics used to assess trustworthiness.  Understanding that trustworthiness is a spectrum, and that certain characteristics are more or less important in specific situations, is crucial.  Ultimately, ensuring trustworthiness requires a balanced approach, acknowledging that it’s not a single, easily defined value but rather a multifaceted concept that’s strengthened by its weakest points.”
---
**Note:** The context doesn’t provide a detailed explanation of *why* this is important, so I’ve focused on the core concept of the question.</x:v>
      </x:c>
      <x:c r="N237" s="42" t="n">
        <x:v>4</x:v>
      </x:c>
      <x:c r="O237" s="42" t="n">
        <x:v>4</x:v>
      </x:c>
      <x:c r="P237" s="42" t="n">
        <x:v>4</x:v>
      </x:c>
      <x:c r="Q237" s="42" t="n">
        <x:v>3</x:v>
      </x:c>
      <x:c r="R237" s="42" t="n">
        <x:v>5</x:v>
      </x:c>
      <x:c r="S237" s="42" t="n">
        <x:v>4</x:v>
      </x:c>
      <x:c r="T237" s="50" t="n">
        <x:f>IF(COUNT(N237:S237)=6,AVERAGE(N237:S237),"")</x:f>
        <x:v>4</x:v>
      </x:c>
      <x:c r="U237" s="34" t="str">
        <x:v>AI draft note: Good lifecycle, social-context, and trade-off framing; the full valid, safe, secure, transparent, explainable, private, and fair characteristic list is incomplete.</x:v>
      </x:c>
      <x:c r="V237" s="52" t="str">
        <x:v>AI draft (Codex/GPT); human review required</x:v>
      </x:c>
      <x:c r="W237" s="54" t="str">
        <x:v>2026-06-29</x:v>
      </x:c>
      <x:c r="X237" s="58" t="str">
        <x:v>AI draft - needs human review</x:v>
      </x:c>
    </x:row>
    <x:row r="238" ht="84" customHeight="1">
      <x:c r="A238" s="34" t="str">
        <x:v>K8-Q011-R1</x:v>
      </x:c>
      <x:c r="B238" s="34" t="str">
        <x:v>K8</x:v>
      </x:c>
      <x:c r="C238" s="34" t="str">
        <x:v>Q011</x:v>
      </x:c>
      <x:c r="D238" s="34" t="str">
        <x:v>1</x:v>
      </x:c>
      <x:c r="E238" s="34" t="str">
        <x:v>D2</x:v>
      </x:c>
      <x:c r="F238" s="34" t="str">
        <x:v>llama.cpp README</x:v>
      </x:c>
      <x:c r="G238" s="34" t="str">
        <x:v>fact_retrieval</x:v>
      </x:c>
      <x:c r="H238" s="34" t="str">
        <x:v>easy</x:v>
      </x:c>
      <x:c r="I238" s="34" t="str">
        <x:v>one_document</x:v>
      </x:c>
      <x:c r="J238" s="34" t="str">
        <x:v>What is the main purpose of llama.cpp?</x:v>
      </x:c>
      <x:c r="K238" s="34" t="str">
        <x:v>A good answer should state that llama.cpp enables LLM inference in C/C++ with minimal setup and strong performance across local and cloud hardware.</x:v>
      </x:c>
      <x:c r="L238" s="34" t="str">
        <x:v>D2 README title; D2 Description section</x:v>
      </x:c>
      <x:c r="M238" s="34" t="str">
        <x:v>The main purpose of llama.cpp is to enable LLM inference with minimal setup and state-of-the-art performance on a wide range of tasks. It aims to provide a user-friendly interface that makes it easy for users to get started with using the LLMs, while also ensuring that the performance is at the best possible level. The package is designed to support downstream consumers and is actively being improved through collaboration with NVIDIA and the extension of support for the gpt-oss model with native MXFP4 format.</x:v>
      </x:c>
      <x:c r="N238" s="42" t="n">
        <x:v>5</x:v>
      </x:c>
      <x:c r="O238" s="42" t="n">
        <x:v>4</x:v>
      </x:c>
      <x:c r="P238" s="42" t="n">
        <x:v>4</x:v>
      </x:c>
      <x:c r="Q238" s="42" t="n">
        <x:v>3</x:v>
      </x:c>
      <x:c r="R238" s="42" t="n">
        <x:v>5</x:v>
      </x:c>
      <x:c r="S238" s="42" t="n">
        <x:v>4</x:v>
      </x:c>
      <x:c r="T238" s="50" t="n">
        <x:f>IF(COUNT(N238:S238)=6,AVERAGE(N238:S238),"")</x:f>
        <x:v>4.166666666666667</x:v>
      </x:c>
      <x:c r="U238" s="34" t="str">
        <x:v>AI draft note: Accurate minimal-setup high-performance inference purpose, but omits C/C++ and explicit local/cloud hardware support.</x:v>
      </x:c>
      <x:c r="V238" s="52" t="str">
        <x:v>AI draft (Codex/GPT); human review required</x:v>
      </x:c>
      <x:c r="W238" s="54" t="str">
        <x:v>2026-06-29</x:v>
      </x:c>
      <x:c r="X238" s="58" t="str">
        <x:v>AI draft - needs human review</x:v>
      </x:c>
    </x:row>
    <x:row r="239" ht="84" customHeight="1">
      <x:c r="A239" s="34" t="str">
        <x:v>K8-Q005-R1</x:v>
      </x:c>
      <x:c r="B239" s="34" t="str">
        <x:v>K8</x:v>
      </x:c>
      <x:c r="C239" s="34" t="str">
        <x:v>Q005</x:v>
      </x:c>
      <x:c r="D239" s="34" t="str">
        <x:v>1</x:v>
      </x:c>
      <x:c r="E239" s="34" t="str">
        <x:v>D1</x:v>
      </x:c>
      <x:c r="F239" s="34" t="str">
        <x:v>RAG Paper</x:v>
      </x:c>
      <x:c r="G239" s="34" t="str">
        <x:v>explanation</x:v>
      </x:c>
      <x:c r="H239" s="34" t="str">
        <x:v>medium</x:v>
      </x:c>
      <x:c r="I239" s="34" t="str">
        <x:v>one_document</x:v>
      </x:c>
      <x:c r="J239" s="34" t="str">
        <x:v>How can retrieval help a model access knowledge that is not stored in its parameters?</x:v>
      </x:c>
      <x:c r="K239" s="34" t="str">
        <x:v>A good answer should explain that retrieval lets the system look up information from an external index at inference time instead of relying only on memorised model parameters. The external index can also be replaced or updated more easily than model weights.</x:v>
      </x:c>
      <x:c r="L239" s="34" t="str">
        <x:v>D1 Introduction; D1 final paragraph of Introduction</x:v>
      </x:c>
      <x:c r="M239" s="34" t="str">
        <x:v>To answer the question: How can retrieval help a model access knowledge that is not stored in its parameters, we need to understand the context provided. The context indicates that the non-parametric memory can be replaced to update the models knowledge as the world changes. The methods explored include RAG models, which use the input sequence to retrieve text documents and use them as additional context when generating the target sequence. The context suggests that the development is exciting, but such models do have downsides, including not easily expanding or revising their knowledge, not being able to provide insight into their predictions, and producing hallucinations. The context also mentions that hybrid models that combine parametric and non-parametric memories can address some of these issues because knowledge can be retrieved. Therefore, the answer to the question is that retrieval can help a model access knowledge that is not stored in its parameters by providing it with information that it needs to function properly. This includes using the non-parametric memory to update the knowledge base as the world changes, which can be done without any external memory, as a parameterized implicit knowledge base. The answer is not directly stated in the context but is inferred from the overall context and answer to the question.</x:v>
      </x:c>
      <x:c r="N239" s="42" t="n">
        <x:v>5</x:v>
      </x:c>
      <x:c r="O239" s="42" t="n">
        <x:v>4</x:v>
      </x:c>
      <x:c r="P239" s="42" t="n">
        <x:v>4</x:v>
      </x:c>
      <x:c r="Q239" s="42" t="n">
        <x:v>4</x:v>
      </x:c>
      <x:c r="R239" s="42" t="n">
        <x:v>4</x:v>
      </x:c>
      <x:c r="S239" s="42" t="n">
        <x:v>4</x:v>
      </x:c>
      <x:c r="T239" s="50" t="n">
        <x:f>IF(COUNT(N239:S239)=6,AVERAGE(N239:S239),"")</x:f>
        <x:v>4.166666666666667</x:v>
      </x:c>
      <x:c r="U239" s="34" t="str">
        <x:v>AI draft note: Correctly explains retrieved external context and easier knowledge updating; the response is verbose and contains some confused wording.</x:v>
      </x:c>
      <x:c r="V239" s="52" t="str">
        <x:v>AI draft (Codex/GPT); human review required</x:v>
      </x:c>
      <x:c r="W239" s="54" t="str">
        <x:v>2026-06-29</x:v>
      </x:c>
      <x:c r="X239" s="58" t="str">
        <x:v>AI draft - needs human review</x:v>
      </x:c>
    </x:row>
    <x:row r="240" ht="84" customHeight="1">
      <x:c r="A240" s="34" t="str">
        <x:v>M4-Q020-R1</x:v>
      </x:c>
      <x:c r="B240" s="34" t="str">
        <x:v>M4</x:v>
      </x:c>
      <x:c r="C240" s="34" t="str">
        <x:v>Q020</x:v>
      </x:c>
      <x:c r="D240" s="34" t="str">
        <x:v>1</x:v>
      </x:c>
      <x:c r="E240" s="34" t="str">
        <x:v>D2</x:v>
      </x:c>
      <x:c r="F240" s="34" t="str">
        <x:v>llama.cpp README</x:v>
      </x:c>
      <x:c r="G240" s="34" t="str">
        <x:v>boundary_limitation</x:v>
      </x:c>
      <x:c r="H240" s="34" t="str">
        <x:v>hard</x:v>
      </x:c>
      <x:c r="I240" s="34" t="str">
        <x:v>one_document</x:v>
      </x:c>
      <x:c r="J240" s="34" t="str">
        <x:v>What deployment limitation might still remain even if the runtime supports local inference?</x:v>
      </x:c>
      <x:c r="K240" s="34" t="str">
        <x:v>A good answer should note that local inference does not remove limits such as model size, memory, CPU/GPU speed, supported formats, software setup, and security of the local device. It should present local deployment as practical but still constrained.</x:v>
      </x:c>
      <x:c r="L240" s="34" t="str">
        <x:v>D2 README Description; D2 Quick start; D4 ICO security/data minimisation context</x:v>
      </x:c>
      <x:c r="M240" s="34" t="str">
        <x:v>The deployment limitation that might still remain even if the runtime supports local inference is the restriction on the number of queries that can be performed by a particular user within a given time limit.</x:v>
      </x:c>
      <x:c r="N240" s="42" t="n">
        <x:v>2</x:v>
      </x:c>
      <x:c r="O240" s="42" t="n">
        <x:v>1</x:v>
      </x:c>
      <x:c r="P240" s="42" t="n">
        <x:v>1</x:v>
      </x:c>
      <x:c r="Q240" s="42" t="n">
        <x:v>1</x:v>
      </x:c>
      <x:c r="R240" s="42" t="n">
        <x:v>2</x:v>
      </x:c>
      <x:c r="S240" s="42" t="n">
        <x:v>1</x:v>
      </x:c>
      <x:c r="T240" s="50" t="n">
        <x:f>IF(COUNT(N240:S240)=6,AVERAGE(N240:S240),"")</x:f>
        <x:v>1.3333333333333333</x:v>
      </x:c>
      <x:c r="U240" s="34" t="str">
        <x:v>AI draft note: Invents a query-rate limitation and ignores model size, memory, compute, formats, setup, and local device security.</x:v>
      </x:c>
      <x:c r="V240" s="52" t="str">
        <x:v>AI draft (Codex/GPT); human review required</x:v>
      </x:c>
      <x:c r="W240" s="54" t="str">
        <x:v>2026-06-29</x:v>
      </x:c>
      <x:c r="X240" s="58" t="str">
        <x:v>AI draft - needs human review</x:v>
      </x:c>
    </x:row>
    <x:row r="241" ht="84" customHeight="1">
      <x:c r="A241" s="34" t="str">
        <x:v>T2-Q014-R1</x:v>
      </x:c>
      <x:c r="B241" s="34" t="str">
        <x:v>T2</x:v>
      </x:c>
      <x:c r="C241" s="34" t="str">
        <x:v>Q014</x:v>
      </x:c>
      <x:c r="D241" s="34" t="str">
        <x:v>1</x:v>
      </x:c>
      <x:c r="E241" s="34" t="str">
        <x:v>D2</x:v>
      </x:c>
      <x:c r="F241" s="34" t="str">
        <x:v>llama.cpp README</x:v>
      </x:c>
      <x:c r="G241" s="34" t="str">
        <x:v>explanation</x:v>
      </x:c>
      <x:c r="H241" s="34" t="str">
        <x:v>medium</x:v>
      </x:c>
      <x:c r="I241" s="34" t="str">
        <x:v>one_document</x:v>
      </x:c>
      <x:c r="J241" s="34" t="str">
        <x:v>How does quantisation support faster inference or lower memory use?</x:v>
      </x:c>
      <x:c r="K241" s="34" t="str">
        <x:v>A good answer should explain that quantisation stores model weights with fewer bits, such as 4-bit or 8-bit integers, reducing memory use and often improving inference speed. It should also note that quality may change, so it must be benchmarked.</x:v>
      </x:c>
      <x:c r="L241" s="34" t="str">
        <x:v>D2 README Description quantisation bullet; D2 quantisation documentation reference</x:v>
      </x:c>
      <x:c r="M241" s="34" t="str">
        <x:v>The quantization support in the llama.cpp project enables faster inference and lower memory use by:
1. **Reducing computational complexity**: By using lower-bit integer types (e.g., 1.5-bit, 2-bit, 3-bit, 4-bit, 5-bit, 6-bit, and 8-bit), the model's computational complexity is decreased, allowing for faster inference and reduced memory usage.
2. **Minimizing memory footprint**: Lower-bit integer types result in a smaller memory footprint, which is particularly beneficial when dealing with models that require large amounts of memory, such as those finetuning base models.
3. **Accelerating inference**: By reducing the computational complexity and memory footprint, the model can process data more efficiently, leading to faster inference times.
4. **Optimizing for ARM NEON, Metal, and AVX support**: The quantization support is optimized for ARM NEON, Metal, and AVX (AVX, AVX2, AVX512, and AMX) support, allowing the model to take advantage of these hardware accelerators and frameworks.
5. **Hybrid approach for non-convolutional models**: The project also supports hybrid models that combine parametric memory with non-parametric (i.e., retrieval-based) memories, which can help address some of the limitations of LLMs, such as lack of expandability and lack of insight into predictions.
Overall, the quantization support in the llama.cpp project enables faster inference and lower memory use by reducing computational complexity, minimizing memory footprint, and optimizing for specific hardware accelerators and frameworks.</x:v>
      </x:c>
      <x:c r="N241" s="42" t="n">
        <x:v>5</x:v>
      </x:c>
      <x:c r="O241" s="42" t="n">
        <x:v>5</x:v>
      </x:c>
      <x:c r="P241" s="42" t="n">
        <x:v>4</x:v>
      </x:c>
      <x:c r="Q241" s="42" t="n">
        <x:v>4</x:v>
      </x:c>
      <x:c r="R241" s="42" t="n">
        <x:v>5</x:v>
      </x:c>
      <x:c r="S241" s="42" t="n">
        <x:v>4</x:v>
      </x:c>
      <x:c r="T241" s="50" t="n">
        <x:f>IF(COUNT(N241:S241)=6,AVERAGE(N241:S241),"")</x:f>
        <x:v>4.5</x:v>
      </x:c>
      <x:c r="U241" s="34" t="str">
        <x:v>AI draft note: Correctly explains lower-bit storage, reduced computation, faster inference, and lower memory; possible quality loss and benchmarking are omitted.</x:v>
      </x:c>
      <x:c r="V241" s="52" t="str">
        <x:v>AI draft (Codex/GPT); human review required</x:v>
      </x:c>
      <x:c r="W241" s="54" t="str">
        <x:v>2026-06-29</x:v>
      </x:c>
      <x:c r="X241" s="58" t="str">
        <x:v>AI draft - needs human review</x:v>
      </x:c>
    </x:row>
  </x:sheetData>
  <x:conditionalFormatting sqref="X2:X241">
    <x:cfRule type="containsText" dxfId="0" priority="1" operator="containsText" text="Complete"/>
    <x:cfRule type="containsText" dxfId="1" priority="2" operator="containsText" text="Partial"/>
  </x:conditionalFormatting>
  <x:dataValidations count="1">
    <x:dataValidation type="whole" operator="between" sqref="N2:S241">
      <x:formula1>0</x:formula1>
      <x:formula2>5</x:formula2>
    </x:dataValidation>
  </x:dataValidations>
  <x:pageMargins left="0.7" right="0.7" top="0.75" bottom="0.75" header="0.3" footer="0.3"/>
  <x:tableParts count="1">
    <x:tablePart xmlns:r="http://schemas.openxmlformats.org/officeDocument/2006/relationships" r:id="Rd5a3229d2b8b413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18" hidden="0" customWidth="1"/>
    <x:col min="4" max="4" width="10" hidden="0" customWidth="1"/>
    <x:col min="5" max="5" width="30" hidden="0" customWidth="1"/>
    <x:col min="6" max="6" width="48" hidden="0" customWidth="1"/>
  </x:cols>
  <x:sheetData>
    <x:row r="1" ht="36" customHeight="1">
      <x:c r="A1" s="64" t="str">
        <x:v>Blind Answer Scoring Workbook</x:v>
      </x:c>
      <x:c r="B1" s="64"/>
      <x:c r="C1" s="64"/>
      <x:c r="D1" s="64"/>
      <x:c r="E1" s="64"/>
      <x:c r="F1" s="64"/>
    </x:row>
    <x:row r="3">
      <x:c r="A3" s="70" t="str">
        <x:v>Progress</x:v>
      </x:c>
      <x:c r="B3" s="70" t="str">
        <x:v>Value</x:v>
      </x:c>
      <x:c r="D3" s="70" t="str">
        <x:v>Score</x:v>
      </x:c>
      <x:c r="E3" s="70" t="str">
        <x:v>Meaning</x:v>
      </x:c>
      <x:c r="F3" s="70" t="str">
        <x:v>Use</x:v>
      </x:c>
    </x:row>
    <x:row r="4">
      <x:c r="A4" s="72" t="str">
        <x:v>Total answers</x:v>
      </x:c>
      <x:c r="B4" s="73" t="n">
        <x:v>240</x:v>
      </x:c>
      <x:c r="D4" s="72" t="n">
        <x:v>0</x:v>
      </x:c>
      <x:c r="E4" s="84" t="str">
        <x:v>Absent or unusable</x:v>
      </x:c>
      <x:c r="F4" s="73" t="str">
        <x:v>No meaningful answer or severe failure</x:v>
      </x:c>
    </x:row>
    <x:row r="5">
      <x:c r="A5" s="74" t="str">
        <x:v>Completed</x:v>
      </x:c>
      <x:c r="B5" s="75" t="n">
        <x:f>COUNTIF('Blind Scoring'!$X$2:$X$241,"Complete")</x:f>
        <x:v>0</x:v>
      </x:c>
      <x:c r="D5" s="74" t="n">
        <x:v>1</x:v>
      </x:c>
      <x:c r="E5" s="85" t="str">
        <x:v>Very poor</x:v>
      </x:c>
      <x:c r="F5" s="75" t="str">
        <x:v>Mostly wrong, unsupported, or irrelevant</x:v>
      </x:c>
    </x:row>
    <x:row r="6">
      <x:c r="A6" s="74" t="str">
        <x:v>Partial</x:v>
      </x:c>
      <x:c r="B6" s="75" t="n">
        <x:f>COUNTIF('Blind Scoring'!$X$2:$X$241,"Partial")</x:f>
        <x:v>0</x:v>
      </x:c>
      <x:c r="D6" s="74" t="n">
        <x:v>2</x:v>
      </x:c>
      <x:c r="E6" s="85" t="str">
        <x:v>Weak</x:v>
      </x:c>
      <x:c r="F6" s="75" t="str">
        <x:v>Some useful content but major problems</x:v>
      </x:c>
    </x:row>
    <x:row r="7">
      <x:c r="A7" s="74" t="str">
        <x:v>Not started</x:v>
      </x:c>
      <x:c r="B7" s="75" t="n">
        <x:f>COUNTIF('Blind Scoring'!$X$2:$X$241,"Not started")</x:f>
        <x:v>0</x:v>
      </x:c>
      <x:c r="D7" s="74" t="n">
        <x:v>3</x:v>
      </x:c>
      <x:c r="E7" s="85" t="str">
        <x:v>Acceptable</x:v>
      </x:c>
      <x:c r="F7" s="75" t="str">
        <x:v>Generally correct with noticeable limitations</x:v>
      </x:c>
    </x:row>
    <x:row r="8">
      <x:c r="A8" s="76" t="str">
        <x:v>Completion</x:v>
      </x:c>
      <x:c r="B8" s="77" t="n">
        <x:f>B5/B4</x:f>
        <x:v>0</x:v>
      </x:c>
      <x:c r="D8" s="74" t="n">
        <x:v>4</x:v>
      </x:c>
      <x:c r="E8" s="85" t="str">
        <x:v>Good</x:v>
      </x:c>
      <x:c r="F8" s="75" t="str">
        <x:v>Correct and well grounded with minor omissions</x:v>
      </x:c>
    </x:row>
    <x:row r="9">
      <x:c r="D9" s="76" t="n">
        <x:v>5</x:v>
      </x:c>
      <x:c r="E9" s="86" t="str">
        <x:v>Excellent</x:v>
      </x:c>
      <x:c r="F9" s="87" t="str">
        <x:v>Accurate, complete, concise, and well grounded</x:v>
      </x:c>
    </x:row>
    <x:row r="11">
      <x:c r="A11" s="70" t="str">
        <x:v>Dimension</x:v>
      </x:c>
      <x:c r="B11" s="70" t="str">
        <x:v>Question to ask</x:v>
      </x:c>
      <x:c r="C11" s="70" t="str">
        <x:v>Direction</x:v>
      </x:c>
    </x:row>
    <x:row r="12">
      <x:c r="A12" s="110" t="str">
        <x:v>Relevance</x:v>
      </x:c>
      <x:c r="B12" s="111" t="str">
        <x:v>Does the answer address the question?</x:v>
      </x:c>
      <x:c r="C12" s="112" t="str">
        <x:v>Higher is better</x:v>
      </x:c>
    </x:row>
    <x:row r="13">
      <x:c r="A13" s="113" t="str">
        <x:v>Correctness</x:v>
      </x:c>
      <x:c r="B13" s="114" t="str">
        <x:v>Does it match the expected answer and evidence?</x:v>
      </x:c>
      <x:c r="C13" s="115" t="str">
        <x:v>Higher is better</x:v>
      </x:c>
    </x:row>
    <x:row r="14">
      <x:c r="A14" s="113" t="str">
        <x:v>Faithfulness to source</x:v>
      </x:c>
      <x:c r="B14" s="114" t="str">
        <x:v>Are its claims supported by the retrieved material?</x:v>
      </x:c>
      <x:c r="C14" s="115" t="str">
        <x:v>Higher is better</x:v>
      </x:c>
    </x:row>
    <x:row r="15">
      <x:c r="A15" s="113" t="str">
        <x:v>Completeness</x:v>
      </x:c>
      <x:c r="B15" s="114" t="str">
        <x:v>Does it cover the important expected points?</x:v>
      </x:c>
      <x:c r="C15" s="115" t="str">
        <x:v>Higher is better</x:v>
      </x:c>
    </x:row>
    <x:row r="16">
      <x:c r="A16" s="113" t="str">
        <x:v>Hallucination risk</x:v>
      </x:c>
      <x:c r="B16" s="114" t="str">
        <x:v>Does it avoid unsupported or invented claims?</x:v>
      </x:c>
      <x:c r="C16" s="115" t="str">
        <x:v>5 means lowest risk</x:v>
      </x:c>
    </x:row>
    <x:row r="17">
      <x:c r="A17" s="116" t="str">
        <x:v>Source grounding</x:v>
      </x:c>
      <x:c r="B17" s="117" t="str">
        <x:v>Is the answer clearly tied to the source material?</x:v>
      </x:c>
      <x:c r="C17" s="118" t="str">
        <x:v>Higher is better</x:v>
      </x:c>
    </x:row>
    <x:row r="19" ht="58" customHeight="1">
      <x:c r="A19" s="138" t="str">
        <x:v>Workflow: score columns N-S without opening the separate model key. Column T calculates the mean automatically. Use scoring notes for borderline decisions. The hidden identity key must remain closed until all human scores are complete.</x:v>
      </x:c>
      <x:c r="B19" s="139"/>
      <x:c r="C19" s="139"/>
      <x:c r="D19" s="139"/>
      <x:c r="E19" s="139"/>
      <x:c r="F19" s="140"/>
    </x:row>
  </x:sheetData>
  <x:mergeCells>
    <x:mergeCell ref="A1:F1"/>
    <x:mergeCell ref="A19:F19"/>
  </x:mergeCells>
  <x:pageMargins left="0.7" right="0.7" top="0.75" bottom="0.75" header="0.3" footer="0.3"/>
</x:worksheet>
</file>

<file path=xl/worksheets/sheet3.xml><?xml version="1.0" encoding="utf-8"?>
<x:worksheet xmlns:x="http://schemas.openxmlformats.org/spreadsheetml/2006/main">
  <x:sheetFormatPr defaultRowHeight="15"/>
  <x:cols>
    <x:col min="1" max="1" width="16.6299991607666" hidden="0" customWidth="1"/>
    <x:col min="2" max="2" width="95.5" hidden="0" customWidth="1"/>
  </x:cols>
  <x:sheetData>
    <x:row r="1">
      <x:c r="A1" s="145" t="str">
        <x:v>AI Draft Scoring Copy</x:v>
      </x:c>
      <x:c r="B1" s="145"/>
      <x:c r="C1" s="145"/>
      <x:c r="D1" s="145"/>
    </x:row>
    <x:row r="2">
      <x:c r="A2" s="146"/>
      <x:c r="B2" s="146"/>
      <x:c r="C2" s="146"/>
      <x:c r="D2" s="146"/>
    </x:row>
    <x:row r="3">
      <x:c r="A3" s="147" t="str">
        <x:v>Purpose</x:v>
      </x:c>
      <x:c r="B3" s="146" t="str">
        <x:v>This workbook is prefilled with Codex/GPT AI second-rater scores to speed up human review.</x:v>
      </x:c>
      <x:c r="C3" s="146"/>
      <x:c r="D3" s="146"/>
    </x:row>
    <x:row r="4">
      <x:c r="A4" s="147" t="str">
        <x:v>Important</x:v>
      </x:c>
      <x:c r="B4" s="146" t="str">
        <x:v>These scores must not be reported as completed human blind scoring unless the human scorer reviews and accepts/edits them.</x:v>
      </x:c>
      <x:c r="C4" s="146"/>
      <x:c r="D4" s="146"/>
    </x:row>
    <x:row r="5">
      <x:c r="A5" s="147" t="str">
        <x:v>Primary file</x:v>
      </x:c>
      <x:c r="B5" s="146" t="str">
        <x:v>Blind Scoring sheet, columns N:S contain draft scores; columns U:X mark the rows as AI draft.</x:v>
      </x:c>
      <x:c r="C5" s="146"/>
      <x:c r="D5" s="146"/>
    </x:row>
    <x:row r="6">
      <x:c r="A6" s="147" t="str">
        <x:v>Next action</x:v>
      </x:c>
      <x:c r="B6" s="146" t="str">
        <x:v>Review the scores by question group, edit any scores you disagree with, then change status to human-reviewed if appropriate.</x:v>
      </x:c>
      <x:c r="C6" s="146"/>
      <x:c r="D6" s="146"/>
    </x:row>
    <x:row r="7">
      <x:c r="A7" s="147" t="str">
        <x:v>Model key</x:v>
      </x:c>
      <x:c r="B7" s="146" t="str">
        <x:v>Do not open the hidden model key until human review/scoring is finished.</x:v>
      </x:c>
      <x:c r="C7" s="146"/>
      <x:c r="D7" s="146"/>
    </x:row>
    <x:row r="8">
      <x:c r="A8" s="147" t="str">
        <x:v>Created</x:v>
      </x:c>
      <x:c r="B8" s="146" t="str">
        <x:v>2026-06-29</x:v>
      </x:c>
      <x:c r="C8" s="146"/>
      <x:c r="D8" s="146"/>
    </x:row>
  </x:sheetData>
  <x:pageMargins left="0.7" right="0.7" top="0.75" bottom="0.75" header="0.3" footer="0.3"/>
</x:worksheet>
</file>